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Sheet1!$F$1:$M$12</definedName>
  </definedNames>
  <calcPr calcId="144525"/>
</workbook>
</file>

<file path=xl/calcChain.xml><?xml version="1.0" encoding="utf-8"?>
<calcChain xmlns="http://schemas.openxmlformats.org/spreadsheetml/2006/main">
  <c r="G12" i="1" l="1"/>
  <c r="G10" i="1"/>
  <c r="G9" i="1"/>
  <c r="G11" i="1" l="1"/>
</calcChain>
</file>

<file path=xl/sharedStrings.xml><?xml version="1.0" encoding="utf-8"?>
<sst xmlns="http://schemas.openxmlformats.org/spreadsheetml/2006/main" count="30" uniqueCount="28">
  <si>
    <t>Employee Id</t>
  </si>
  <si>
    <t>Name</t>
  </si>
  <si>
    <t>Department</t>
  </si>
  <si>
    <t>Position</t>
  </si>
  <si>
    <t>Joint Date</t>
  </si>
  <si>
    <t>Salary</t>
  </si>
  <si>
    <t>Bonus</t>
  </si>
  <si>
    <t>Total Salary</t>
  </si>
  <si>
    <t>John Smith</t>
  </si>
  <si>
    <t>HR</t>
  </si>
  <si>
    <t>Manager</t>
  </si>
  <si>
    <t>15/01/2023</t>
  </si>
  <si>
    <t>Sarah Khan</t>
  </si>
  <si>
    <t>IT</t>
  </si>
  <si>
    <t>Developer</t>
  </si>
  <si>
    <t>David Lee</t>
  </si>
  <si>
    <t>Sales</t>
  </si>
  <si>
    <t>Executive</t>
  </si>
  <si>
    <t>22/07/2021</t>
  </si>
  <si>
    <t>Emma Brown</t>
  </si>
  <si>
    <t>Finance</t>
  </si>
  <si>
    <t>Accountant</t>
  </si>
  <si>
    <t>Michael Kim</t>
  </si>
  <si>
    <t>Result:-</t>
  </si>
  <si>
    <t>Total Salary of HR:-</t>
  </si>
  <si>
    <t>Total Salary of IT:-</t>
  </si>
  <si>
    <t>Total Bonus of Finance:-</t>
  </si>
  <si>
    <t>IT &amp; Developer Total Salary:-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</si>
</sst>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M12"/>
  <sheetViews>
    <sheetView tabSelected="1" workbookViewId="0">
      <selection activeCell="F1" sqref="F1:M12"/>
    </sheetView>
  </sheetViews>
  <sheetFormatPr defaultRowHeight="14.4" x14ac:dyDescent="0.3"/>
  <cols>
    <col min="6" max="6" width="24.6640625" customWidth="1"/>
    <col min="7" max="7" width="14.33203125" customWidth="1"/>
    <col min="8" max="8" width="13" customWidth="1"/>
    <col min="9" max="9" width="10.109375" customWidth="1"/>
    <col min="10" max="10" width="10.77734375" customWidth="1"/>
    <col min="13" max="13" width="13.44140625" customWidth="1"/>
  </cols>
  <sheetData>
    <row r="1" spans="6:13" ht="15.6" x14ac:dyDescent="0.3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6:13" x14ac:dyDescent="0.3">
      <c r="F2" s="3">
        <v>1001</v>
      </c>
      <c r="G2" s="3" t="s">
        <v>8</v>
      </c>
      <c r="H2" s="3" t="s">
        <v>9</v>
      </c>
      <c r="I2" s="3" t="s">
        <v>10</v>
      </c>
      <c r="J2" s="3" t="s">
        <v>11</v>
      </c>
      <c r="K2" s="3">
        <v>4500</v>
      </c>
      <c r="L2" s="3">
        <v>500</v>
      </c>
      <c r="M2" s="3">
        <v>5000</v>
      </c>
    </row>
    <row r="3" spans="6:13" x14ac:dyDescent="0.3">
      <c r="F3" s="3">
        <v>1002</v>
      </c>
      <c r="G3" s="3" t="s">
        <v>12</v>
      </c>
      <c r="H3" s="3" t="s">
        <v>13</v>
      </c>
      <c r="I3" s="3" t="s">
        <v>14</v>
      </c>
      <c r="J3" s="4">
        <v>44837</v>
      </c>
      <c r="K3" s="3">
        <v>5200</v>
      </c>
      <c r="L3" s="3">
        <v>800</v>
      </c>
      <c r="M3" s="3">
        <v>6000</v>
      </c>
    </row>
    <row r="4" spans="6:13" x14ac:dyDescent="0.3">
      <c r="F4" s="3">
        <v>1003</v>
      </c>
      <c r="G4" s="3" t="s">
        <v>15</v>
      </c>
      <c r="H4" s="3" t="s">
        <v>16</v>
      </c>
      <c r="I4" s="3" t="s">
        <v>17</v>
      </c>
      <c r="J4" s="3" t="s">
        <v>18</v>
      </c>
      <c r="K4" s="3">
        <v>4100</v>
      </c>
      <c r="L4" s="3">
        <v>600</v>
      </c>
      <c r="M4" s="3">
        <v>4700</v>
      </c>
    </row>
    <row r="5" spans="6:13" x14ac:dyDescent="0.3">
      <c r="F5" s="3">
        <v>1004</v>
      </c>
      <c r="G5" s="3" t="s">
        <v>19</v>
      </c>
      <c r="H5" s="3" t="s">
        <v>20</v>
      </c>
      <c r="I5" s="3" t="s">
        <v>21</v>
      </c>
      <c r="J5" s="4">
        <v>44176</v>
      </c>
      <c r="K5" s="3">
        <v>4800</v>
      </c>
      <c r="L5" s="3">
        <v>700</v>
      </c>
      <c r="M5" s="3">
        <v>5500</v>
      </c>
    </row>
    <row r="6" spans="6:13" x14ac:dyDescent="0.3">
      <c r="F6" s="3">
        <v>1005</v>
      </c>
      <c r="G6" s="3" t="s">
        <v>22</v>
      </c>
      <c r="H6" s="3" t="s">
        <v>13</v>
      </c>
      <c r="I6" s="3" t="s">
        <v>14</v>
      </c>
      <c r="J6" s="4">
        <v>45147</v>
      </c>
      <c r="K6" s="3">
        <v>5500</v>
      </c>
      <c r="L6" s="3">
        <v>900</v>
      </c>
      <c r="M6" s="3">
        <v>6400</v>
      </c>
    </row>
    <row r="8" spans="6:13" ht="15.6" x14ac:dyDescent="0.3">
      <c r="F8" s="1" t="s">
        <v>23</v>
      </c>
    </row>
    <row r="9" spans="6:13" x14ac:dyDescent="0.3">
      <c r="F9" s="5" t="s">
        <v>24</v>
      </c>
      <c r="G9" s="5">
        <f>SUMIF(H2:H6,"hr",M2:M6)</f>
        <v>5000</v>
      </c>
    </row>
    <row r="10" spans="6:13" x14ac:dyDescent="0.3">
      <c r="F10" s="5" t="s">
        <v>25</v>
      </c>
      <c r="G10" s="5">
        <f>SUMIF(H2:H6,"it",M2:M6)</f>
        <v>12400</v>
      </c>
    </row>
    <row r="11" spans="6:13" x14ac:dyDescent="0.3">
      <c r="F11" s="5" t="s">
        <v>26</v>
      </c>
      <c r="G11" s="5">
        <f>SUMIF(H2:H6,"Finance",L2:L6)</f>
        <v>700</v>
      </c>
    </row>
    <row r="12" spans="6:13" x14ac:dyDescent="0.3">
      <c r="F12" s="5" t="s">
        <v>27</v>
      </c>
      <c r="G12" s="5">
        <f>SUMIFS(M2:M6,H2:H6,"it",I2:I6,"developer")</f>
        <v>12400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2026-08-16T02:59:31Z</cp:lastPrinted>
  <dcterms:created xsi:type="dcterms:W3CDTF">2026-08-13T18:24:02Z</dcterms:created>
  <dcterms:modified xsi:type="dcterms:W3CDTF">2026-08-16T02:59:38Z</dcterms:modified>
</cp:coreProperties>
</file>