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definedNames>
    <definedName name="_xlnm.Print_Area" localSheetId="0">Sheet1!$F$1:$N$33</definedName>
  </definedNames>
  <calcPr calcId="144525"/>
</workbook>
</file>

<file path=xl/calcChain.xml><?xml version="1.0" encoding="utf-8"?>
<calcChain xmlns="http://schemas.openxmlformats.org/spreadsheetml/2006/main">
  <c r="N33" i="1" l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7" i="1"/>
  <c r="N8" i="1"/>
  <c r="N6" i="1"/>
  <c r="N5" i="1"/>
  <c r="N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33" i="1" l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5" i="1"/>
  <c r="K6" i="1"/>
  <c r="K4" i="1"/>
</calcChain>
</file>

<file path=xl/sharedStrings.xml><?xml version="1.0" encoding="utf-8"?>
<sst xmlns="http://schemas.openxmlformats.org/spreadsheetml/2006/main" count="40" uniqueCount="40">
  <si>
    <t>Student Marks Sheet</t>
  </si>
  <si>
    <t xml:space="preserve">Id </t>
  </si>
  <si>
    <t>Name</t>
  </si>
  <si>
    <t>English</t>
  </si>
  <si>
    <t>Math</t>
  </si>
  <si>
    <t>Science</t>
  </si>
  <si>
    <t xml:space="preserve">Total </t>
  </si>
  <si>
    <t>Average</t>
  </si>
  <si>
    <t>Highest</t>
  </si>
  <si>
    <t>Lowest</t>
  </si>
  <si>
    <t>Mahin Muntasir</t>
  </si>
  <si>
    <t>Mohammad Tamim</t>
  </si>
  <si>
    <t>Fahmida Akhter Isha</t>
  </si>
  <si>
    <t>Sakif Hasan</t>
  </si>
  <si>
    <t>Mahin Shariyar</t>
  </si>
  <si>
    <t>Ethun Bala</t>
  </si>
  <si>
    <t>Tonushree Paul</t>
  </si>
  <si>
    <t>Humaira Tabassum Mou</t>
  </si>
  <si>
    <t>Mahima Mouri</t>
  </si>
  <si>
    <t>Tanjim Rafa</t>
  </si>
  <si>
    <t>Nushrat Shikder</t>
  </si>
  <si>
    <t>Adnan Sami</t>
  </si>
  <si>
    <t>Jannatul Mihika</t>
  </si>
  <si>
    <t>Arbin Rahman Riya</t>
  </si>
  <si>
    <t>Sumaiya Amin Tanha</t>
  </si>
  <si>
    <t>Topu Bachar</t>
  </si>
  <si>
    <t>Ranjida Akhter Remi</t>
  </si>
  <si>
    <t>Tasbia Haque Ekra</t>
  </si>
  <si>
    <t>Sagira Tabassum Zeba</t>
  </si>
  <si>
    <t>Jhuma Akhter</t>
  </si>
  <si>
    <t>Sajia Tasnim Proma</t>
  </si>
  <si>
    <t>Nushrat Jahan Arpy</t>
  </si>
  <si>
    <t>MD.Nazmul Islam</t>
  </si>
  <si>
    <t>Samia Jaman Prachujo</t>
  </si>
  <si>
    <t>SK Rafidul Islam</t>
  </si>
  <si>
    <t>Alshahi Hasan</t>
  </si>
  <si>
    <t>Naimul Islam Rifat</t>
  </si>
  <si>
    <t>Mithila Farzana Swarna</t>
  </si>
  <si>
    <t>Khadija Akhter</t>
  </si>
  <si>
    <t>Dipjoti Kundu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</si>
</sst>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22"/>
      <color theme="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6" borderId="1" xfId="0" applyFont="1" applyFill="1" applyBorder="1" applyAlignment="1">
      <alignment horizontal="center"/>
    </xf>
    <xf numFmtId="0" fontId="0" fillId="6" borderId="1" xfId="0" applyFont="1" applyFill="1" applyBorder="1" applyAlignment="1"/>
    <xf numFmtId="0" fontId="0" fillId="5" borderId="1" xfId="0" applyFont="1" applyFill="1" applyBorder="1" applyAlignment="1"/>
    <xf numFmtId="0" fontId="0" fillId="7" borderId="1" xfId="0" applyFont="1" applyFill="1" applyBorder="1" applyAlignment="1"/>
    <xf numFmtId="0" fontId="0" fillId="8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P35"/>
  <sheetViews>
    <sheetView showRowColHeaders="0" tabSelected="1" workbookViewId="0">
      <selection activeCell="F1" sqref="F1:N33"/>
    </sheetView>
  </sheetViews>
  <sheetFormatPr defaultRowHeight="14.4" x14ac:dyDescent="0.3"/>
  <cols>
    <col min="5" max="5" width="10.77734375" customWidth="1"/>
    <col min="6" max="6" width="6.5546875" customWidth="1"/>
    <col min="7" max="7" width="22.109375" customWidth="1"/>
    <col min="8" max="8" width="10.44140625" customWidth="1"/>
    <col min="9" max="9" width="8.109375" customWidth="1"/>
    <col min="10" max="10" width="7.77734375" customWidth="1"/>
    <col min="11" max="11" width="5.33203125" customWidth="1"/>
    <col min="12" max="12" width="7.6640625" customWidth="1"/>
    <col min="13" max="13" width="7.5546875" customWidth="1"/>
    <col min="14" max="14" width="6.6640625" customWidth="1"/>
  </cols>
  <sheetData>
    <row r="1" spans="6:16" x14ac:dyDescent="0.3">
      <c r="F1" s="14" t="s">
        <v>0</v>
      </c>
      <c r="G1" s="14"/>
      <c r="H1" s="14"/>
      <c r="I1" s="14"/>
      <c r="J1" s="14"/>
      <c r="K1" s="14"/>
      <c r="L1" s="14"/>
      <c r="M1" s="14"/>
      <c r="N1" s="14"/>
    </row>
    <row r="2" spans="6:16" x14ac:dyDescent="0.3">
      <c r="F2" s="14"/>
      <c r="G2" s="14"/>
      <c r="H2" s="14"/>
      <c r="I2" s="14"/>
      <c r="J2" s="14"/>
      <c r="K2" s="14"/>
      <c r="L2" s="14"/>
      <c r="M2" s="14"/>
      <c r="N2" s="14"/>
    </row>
    <row r="3" spans="6:16" ht="18" x14ac:dyDescent="0.35">
      <c r="F3" s="5" t="s">
        <v>1</v>
      </c>
      <c r="G3" s="5" t="s">
        <v>2</v>
      </c>
      <c r="H3" s="9" t="s">
        <v>3</v>
      </c>
      <c r="I3" s="9" t="s">
        <v>4</v>
      </c>
      <c r="J3" s="10" t="s">
        <v>5</v>
      </c>
      <c r="K3" s="11" t="s">
        <v>6</v>
      </c>
      <c r="L3" s="12" t="s">
        <v>7</v>
      </c>
      <c r="M3" s="13" t="s">
        <v>8</v>
      </c>
      <c r="N3" s="13" t="s">
        <v>9</v>
      </c>
    </row>
    <row r="4" spans="6:16" x14ac:dyDescent="0.3">
      <c r="F4" s="4">
        <v>101</v>
      </c>
      <c r="G4" s="6" t="s">
        <v>10</v>
      </c>
      <c r="H4" s="4">
        <v>85</v>
      </c>
      <c r="I4" s="4">
        <v>78</v>
      </c>
      <c r="J4" s="4">
        <v>92</v>
      </c>
      <c r="K4" s="7">
        <f t="shared" ref="K4:K33" si="0">SUM(H4,I4,J4)</f>
        <v>255</v>
      </c>
      <c r="L4" s="8">
        <f t="shared" ref="L4:L33" si="1">AVERAGE(H4:J4)</f>
        <v>85</v>
      </c>
      <c r="M4" s="3">
        <f t="shared" ref="M4:M33" si="2">MAX(H4:J4)</f>
        <v>92</v>
      </c>
      <c r="N4" s="4">
        <f t="shared" ref="N4:N33" si="3">MIN(H4:J4)</f>
        <v>78</v>
      </c>
      <c r="P4" s="2"/>
    </row>
    <row r="5" spans="6:16" x14ac:dyDescent="0.3">
      <c r="F5" s="4">
        <v>102</v>
      </c>
      <c r="G5" s="6" t="s">
        <v>11</v>
      </c>
      <c r="H5" s="4">
        <v>72</v>
      </c>
      <c r="I5" s="4">
        <v>68</v>
      </c>
      <c r="J5" s="4">
        <v>75</v>
      </c>
      <c r="K5" s="4">
        <f t="shared" si="0"/>
        <v>215</v>
      </c>
      <c r="L5" s="6">
        <f t="shared" si="1"/>
        <v>71.666666666666671</v>
      </c>
      <c r="M5" s="3">
        <f t="shared" si="2"/>
        <v>75</v>
      </c>
      <c r="N5" s="4">
        <f t="shared" si="3"/>
        <v>68</v>
      </c>
    </row>
    <row r="6" spans="6:16" x14ac:dyDescent="0.3">
      <c r="F6" s="4">
        <v>103</v>
      </c>
      <c r="G6" s="6" t="s">
        <v>12</v>
      </c>
      <c r="H6" s="4">
        <v>95</v>
      </c>
      <c r="I6" s="4">
        <v>88</v>
      </c>
      <c r="J6" s="4">
        <v>91</v>
      </c>
      <c r="K6" s="4">
        <f t="shared" si="0"/>
        <v>274</v>
      </c>
      <c r="L6" s="6">
        <f t="shared" si="1"/>
        <v>91.333333333333329</v>
      </c>
      <c r="M6" s="4">
        <f t="shared" si="2"/>
        <v>95</v>
      </c>
      <c r="N6" s="4">
        <f t="shared" si="3"/>
        <v>88</v>
      </c>
    </row>
    <row r="7" spans="6:16" x14ac:dyDescent="0.3">
      <c r="F7" s="4">
        <v>104</v>
      </c>
      <c r="G7" s="6" t="s">
        <v>13</v>
      </c>
      <c r="H7" s="4">
        <v>64</v>
      </c>
      <c r="I7" s="4">
        <v>70</v>
      </c>
      <c r="J7" s="4">
        <v>66</v>
      </c>
      <c r="K7" s="4">
        <f t="shared" si="0"/>
        <v>200</v>
      </c>
      <c r="L7" s="6">
        <f t="shared" si="1"/>
        <v>66.666666666666671</v>
      </c>
      <c r="M7" s="4">
        <f t="shared" si="2"/>
        <v>70</v>
      </c>
      <c r="N7" s="4">
        <f t="shared" si="3"/>
        <v>64</v>
      </c>
    </row>
    <row r="8" spans="6:16" x14ac:dyDescent="0.3">
      <c r="F8" s="4">
        <v>105</v>
      </c>
      <c r="G8" s="6" t="s">
        <v>14</v>
      </c>
      <c r="H8" s="4">
        <v>58</v>
      </c>
      <c r="I8" s="4">
        <v>62</v>
      </c>
      <c r="J8" s="4">
        <v>55</v>
      </c>
      <c r="K8" s="4">
        <f t="shared" si="0"/>
        <v>175</v>
      </c>
      <c r="L8" s="6">
        <f t="shared" si="1"/>
        <v>58.333333333333336</v>
      </c>
      <c r="M8" s="4">
        <f t="shared" si="2"/>
        <v>62</v>
      </c>
      <c r="N8" s="4">
        <f t="shared" si="3"/>
        <v>55</v>
      </c>
    </row>
    <row r="9" spans="6:16" x14ac:dyDescent="0.3">
      <c r="F9" s="4">
        <v>106</v>
      </c>
      <c r="G9" s="6" t="s">
        <v>15</v>
      </c>
      <c r="H9" s="4">
        <v>81</v>
      </c>
      <c r="I9" s="4">
        <v>76</v>
      </c>
      <c r="J9" s="4">
        <v>84</v>
      </c>
      <c r="K9" s="4">
        <f t="shared" si="0"/>
        <v>241</v>
      </c>
      <c r="L9" s="6">
        <f t="shared" si="1"/>
        <v>80.333333333333329</v>
      </c>
      <c r="M9" s="4">
        <f t="shared" si="2"/>
        <v>84</v>
      </c>
      <c r="N9" s="4">
        <f t="shared" si="3"/>
        <v>76</v>
      </c>
    </row>
    <row r="10" spans="6:16" x14ac:dyDescent="0.3">
      <c r="F10" s="4">
        <v>107</v>
      </c>
      <c r="G10" s="6" t="s">
        <v>16</v>
      </c>
      <c r="H10" s="4">
        <v>49</v>
      </c>
      <c r="I10" s="4">
        <v>55</v>
      </c>
      <c r="J10" s="4">
        <v>52</v>
      </c>
      <c r="K10" s="4">
        <f t="shared" si="0"/>
        <v>156</v>
      </c>
      <c r="L10" s="6">
        <f t="shared" si="1"/>
        <v>52</v>
      </c>
      <c r="M10" s="4">
        <f t="shared" si="2"/>
        <v>55</v>
      </c>
      <c r="N10" s="4">
        <f t="shared" si="3"/>
        <v>49</v>
      </c>
    </row>
    <row r="11" spans="6:16" x14ac:dyDescent="0.3">
      <c r="F11" s="4">
        <v>108</v>
      </c>
      <c r="G11" s="6" t="s">
        <v>17</v>
      </c>
      <c r="H11" s="4">
        <v>73</v>
      </c>
      <c r="I11" s="4">
        <v>80</v>
      </c>
      <c r="J11" s="4">
        <v>77</v>
      </c>
      <c r="K11" s="4">
        <f t="shared" si="0"/>
        <v>230</v>
      </c>
      <c r="L11" s="6">
        <f t="shared" si="1"/>
        <v>76.666666666666671</v>
      </c>
      <c r="M11" s="4">
        <f t="shared" si="2"/>
        <v>80</v>
      </c>
      <c r="N11" s="4">
        <f t="shared" si="3"/>
        <v>73</v>
      </c>
    </row>
    <row r="12" spans="6:16" x14ac:dyDescent="0.3">
      <c r="F12" s="4">
        <v>109</v>
      </c>
      <c r="G12" s="6" t="s">
        <v>18</v>
      </c>
      <c r="H12" s="4">
        <v>67</v>
      </c>
      <c r="I12" s="4">
        <v>59</v>
      </c>
      <c r="J12" s="4">
        <v>65</v>
      </c>
      <c r="K12" s="4">
        <f t="shared" si="0"/>
        <v>191</v>
      </c>
      <c r="L12" s="6">
        <f t="shared" si="1"/>
        <v>63.666666666666664</v>
      </c>
      <c r="M12" s="4">
        <f t="shared" si="2"/>
        <v>67</v>
      </c>
      <c r="N12" s="4">
        <f t="shared" si="3"/>
        <v>59</v>
      </c>
    </row>
    <row r="13" spans="6:16" x14ac:dyDescent="0.3">
      <c r="F13" s="4">
        <v>110</v>
      </c>
      <c r="G13" s="6" t="s">
        <v>19</v>
      </c>
      <c r="H13" s="4">
        <v>90</v>
      </c>
      <c r="I13" s="4">
        <v>94</v>
      </c>
      <c r="J13" s="4">
        <v>87</v>
      </c>
      <c r="K13" s="4">
        <f t="shared" si="0"/>
        <v>271</v>
      </c>
      <c r="L13" s="6">
        <f t="shared" si="1"/>
        <v>90.333333333333329</v>
      </c>
      <c r="M13" s="4">
        <f t="shared" si="2"/>
        <v>94</v>
      </c>
      <c r="N13" s="4">
        <f t="shared" si="3"/>
        <v>87</v>
      </c>
    </row>
    <row r="14" spans="6:16" x14ac:dyDescent="0.3">
      <c r="F14" s="4">
        <v>111</v>
      </c>
      <c r="G14" s="6" t="s">
        <v>20</v>
      </c>
      <c r="H14" s="4">
        <v>76</v>
      </c>
      <c r="I14" s="4">
        <v>82</v>
      </c>
      <c r="J14" s="4">
        <v>71</v>
      </c>
      <c r="K14" s="4">
        <f t="shared" si="0"/>
        <v>229</v>
      </c>
      <c r="L14" s="6">
        <f t="shared" si="1"/>
        <v>76.333333333333329</v>
      </c>
      <c r="M14" s="4">
        <f t="shared" si="2"/>
        <v>82</v>
      </c>
      <c r="N14" s="4">
        <f t="shared" si="3"/>
        <v>71</v>
      </c>
    </row>
    <row r="15" spans="6:16" x14ac:dyDescent="0.3">
      <c r="F15" s="4">
        <v>112</v>
      </c>
      <c r="G15" s="6" t="s">
        <v>21</v>
      </c>
      <c r="H15" s="4">
        <v>88</v>
      </c>
      <c r="I15" s="4">
        <v>91</v>
      </c>
      <c r="J15" s="4">
        <v>85</v>
      </c>
      <c r="K15" s="4">
        <f t="shared" si="0"/>
        <v>264</v>
      </c>
      <c r="L15" s="6">
        <f t="shared" si="1"/>
        <v>88</v>
      </c>
      <c r="M15" s="4">
        <f t="shared" si="2"/>
        <v>91</v>
      </c>
      <c r="N15" s="4">
        <f t="shared" si="3"/>
        <v>85</v>
      </c>
    </row>
    <row r="16" spans="6:16" x14ac:dyDescent="0.3">
      <c r="F16" s="4">
        <v>113</v>
      </c>
      <c r="G16" s="6" t="s">
        <v>22</v>
      </c>
      <c r="H16" s="4">
        <v>54</v>
      </c>
      <c r="I16" s="4">
        <v>61</v>
      </c>
      <c r="J16" s="4">
        <v>58</v>
      </c>
      <c r="K16" s="4">
        <f t="shared" si="0"/>
        <v>173</v>
      </c>
      <c r="L16" s="6">
        <f t="shared" si="1"/>
        <v>57.666666666666664</v>
      </c>
      <c r="M16" s="4">
        <f t="shared" si="2"/>
        <v>61</v>
      </c>
      <c r="N16" s="4">
        <f t="shared" si="3"/>
        <v>54</v>
      </c>
    </row>
    <row r="17" spans="6:14" x14ac:dyDescent="0.3">
      <c r="F17" s="4">
        <v>114</v>
      </c>
      <c r="G17" s="6" t="s">
        <v>23</v>
      </c>
      <c r="H17" s="4">
        <v>79</v>
      </c>
      <c r="I17" s="4">
        <v>74</v>
      </c>
      <c r="J17" s="4">
        <v>81</v>
      </c>
      <c r="K17" s="4">
        <f t="shared" si="0"/>
        <v>234</v>
      </c>
      <c r="L17" s="6">
        <f t="shared" si="1"/>
        <v>78</v>
      </c>
      <c r="M17" s="4">
        <f t="shared" si="2"/>
        <v>81</v>
      </c>
      <c r="N17" s="4">
        <f t="shared" si="3"/>
        <v>74</v>
      </c>
    </row>
    <row r="18" spans="6:14" x14ac:dyDescent="0.3">
      <c r="F18" s="4">
        <v>115</v>
      </c>
      <c r="G18" s="6" t="s">
        <v>24</v>
      </c>
      <c r="H18" s="4">
        <v>63</v>
      </c>
      <c r="I18" s="4">
        <v>57</v>
      </c>
      <c r="J18" s="4">
        <v>69</v>
      </c>
      <c r="K18" s="4">
        <f t="shared" si="0"/>
        <v>189</v>
      </c>
      <c r="L18" s="6">
        <f t="shared" si="1"/>
        <v>63</v>
      </c>
      <c r="M18" s="4">
        <f t="shared" si="2"/>
        <v>69</v>
      </c>
      <c r="N18" s="4">
        <f t="shared" si="3"/>
        <v>57</v>
      </c>
    </row>
    <row r="19" spans="6:14" x14ac:dyDescent="0.3">
      <c r="F19" s="4">
        <v>116</v>
      </c>
      <c r="G19" s="6" t="s">
        <v>25</v>
      </c>
      <c r="H19" s="4">
        <v>92</v>
      </c>
      <c r="I19" s="4">
        <v>86</v>
      </c>
      <c r="J19" s="4">
        <v>95</v>
      </c>
      <c r="K19" s="4">
        <f t="shared" si="0"/>
        <v>273</v>
      </c>
      <c r="L19" s="6">
        <f t="shared" si="1"/>
        <v>91</v>
      </c>
      <c r="M19" s="4">
        <f t="shared" si="2"/>
        <v>95</v>
      </c>
      <c r="N19" s="4">
        <f t="shared" si="3"/>
        <v>86</v>
      </c>
    </row>
    <row r="20" spans="6:14" x14ac:dyDescent="0.3">
      <c r="F20" s="4">
        <v>117</v>
      </c>
      <c r="G20" s="6" t="s">
        <v>26</v>
      </c>
      <c r="H20" s="4">
        <v>71</v>
      </c>
      <c r="I20" s="4">
        <v>65</v>
      </c>
      <c r="J20" s="4">
        <v>73</v>
      </c>
      <c r="K20" s="4">
        <f t="shared" si="0"/>
        <v>209</v>
      </c>
      <c r="L20" s="6">
        <f t="shared" si="1"/>
        <v>69.666666666666671</v>
      </c>
      <c r="M20" s="4">
        <f t="shared" si="2"/>
        <v>73</v>
      </c>
      <c r="N20" s="4">
        <f t="shared" si="3"/>
        <v>65</v>
      </c>
    </row>
    <row r="21" spans="6:14" x14ac:dyDescent="0.3">
      <c r="F21" s="4">
        <v>118</v>
      </c>
      <c r="G21" s="6" t="s">
        <v>27</v>
      </c>
      <c r="H21" s="4">
        <v>83</v>
      </c>
      <c r="I21" s="4">
        <v>79</v>
      </c>
      <c r="J21" s="4">
        <v>88</v>
      </c>
      <c r="K21" s="4">
        <f t="shared" si="0"/>
        <v>250</v>
      </c>
      <c r="L21" s="6">
        <f t="shared" si="1"/>
        <v>83.333333333333329</v>
      </c>
      <c r="M21" s="4">
        <f t="shared" si="2"/>
        <v>88</v>
      </c>
      <c r="N21" s="4">
        <f t="shared" si="3"/>
        <v>79</v>
      </c>
    </row>
    <row r="22" spans="6:14" x14ac:dyDescent="0.3">
      <c r="F22" s="4">
        <v>119</v>
      </c>
      <c r="G22" s="6" t="s">
        <v>28</v>
      </c>
      <c r="H22" s="4">
        <v>47</v>
      </c>
      <c r="I22" s="4">
        <v>52</v>
      </c>
      <c r="J22" s="4">
        <v>49</v>
      </c>
      <c r="K22" s="4">
        <f t="shared" si="0"/>
        <v>148</v>
      </c>
      <c r="L22" s="6">
        <f t="shared" si="1"/>
        <v>49.333333333333336</v>
      </c>
      <c r="M22" s="4">
        <f t="shared" si="2"/>
        <v>52</v>
      </c>
      <c r="N22" s="4">
        <f t="shared" si="3"/>
        <v>47</v>
      </c>
    </row>
    <row r="23" spans="6:14" x14ac:dyDescent="0.3">
      <c r="F23" s="4">
        <v>120</v>
      </c>
      <c r="G23" s="6" t="s">
        <v>29</v>
      </c>
      <c r="H23" s="4">
        <v>69</v>
      </c>
      <c r="I23" s="4">
        <v>72</v>
      </c>
      <c r="J23" s="4">
        <v>64</v>
      </c>
      <c r="K23" s="4">
        <f t="shared" si="0"/>
        <v>205</v>
      </c>
      <c r="L23" s="6">
        <f t="shared" si="1"/>
        <v>68.333333333333329</v>
      </c>
      <c r="M23" s="4">
        <f t="shared" si="2"/>
        <v>72</v>
      </c>
      <c r="N23" s="4">
        <f t="shared" si="3"/>
        <v>64</v>
      </c>
    </row>
    <row r="24" spans="6:14" x14ac:dyDescent="0.3">
      <c r="F24" s="4">
        <v>121</v>
      </c>
      <c r="G24" s="6" t="s">
        <v>30</v>
      </c>
      <c r="H24" s="4">
        <v>86</v>
      </c>
      <c r="I24" s="4">
        <v>90</v>
      </c>
      <c r="J24" s="4">
        <v>82</v>
      </c>
      <c r="K24" s="4">
        <f t="shared" si="0"/>
        <v>258</v>
      </c>
      <c r="L24" s="6">
        <f t="shared" si="1"/>
        <v>86</v>
      </c>
      <c r="M24" s="4">
        <f t="shared" si="2"/>
        <v>90</v>
      </c>
      <c r="N24" s="4">
        <f t="shared" si="3"/>
        <v>82</v>
      </c>
    </row>
    <row r="25" spans="6:14" x14ac:dyDescent="0.3">
      <c r="F25" s="4">
        <v>122</v>
      </c>
      <c r="G25" s="6" t="s">
        <v>31</v>
      </c>
      <c r="H25" s="4">
        <v>74</v>
      </c>
      <c r="I25" s="4">
        <v>77</v>
      </c>
      <c r="J25" s="4">
        <v>70</v>
      </c>
      <c r="K25" s="4">
        <f t="shared" si="0"/>
        <v>221</v>
      </c>
      <c r="L25" s="6">
        <f t="shared" si="1"/>
        <v>73.666666666666671</v>
      </c>
      <c r="M25" s="4">
        <f t="shared" si="2"/>
        <v>77</v>
      </c>
      <c r="N25" s="4">
        <f t="shared" si="3"/>
        <v>70</v>
      </c>
    </row>
    <row r="26" spans="6:14" x14ac:dyDescent="0.3">
      <c r="F26" s="4">
        <v>123</v>
      </c>
      <c r="G26" s="6" t="s">
        <v>32</v>
      </c>
      <c r="H26" s="4">
        <v>59</v>
      </c>
      <c r="I26" s="4">
        <v>63</v>
      </c>
      <c r="J26" s="4">
        <v>57</v>
      </c>
      <c r="K26" s="4">
        <f t="shared" si="0"/>
        <v>179</v>
      </c>
      <c r="L26" s="6">
        <f t="shared" si="1"/>
        <v>59.666666666666664</v>
      </c>
      <c r="M26" s="4">
        <f t="shared" si="2"/>
        <v>63</v>
      </c>
      <c r="N26" s="4">
        <f t="shared" si="3"/>
        <v>57</v>
      </c>
    </row>
    <row r="27" spans="6:14" x14ac:dyDescent="0.3">
      <c r="F27" s="4">
        <v>124</v>
      </c>
      <c r="G27" s="6" t="s">
        <v>33</v>
      </c>
      <c r="H27" s="4">
        <v>91</v>
      </c>
      <c r="I27" s="4">
        <v>89</v>
      </c>
      <c r="J27" s="4">
        <v>93</v>
      </c>
      <c r="K27" s="4">
        <f t="shared" si="0"/>
        <v>273</v>
      </c>
      <c r="L27" s="6">
        <f t="shared" si="1"/>
        <v>91</v>
      </c>
      <c r="M27" s="4">
        <f t="shared" si="2"/>
        <v>93</v>
      </c>
      <c r="N27" s="4">
        <f t="shared" si="3"/>
        <v>89</v>
      </c>
    </row>
    <row r="28" spans="6:14" x14ac:dyDescent="0.3">
      <c r="F28" s="4">
        <v>125</v>
      </c>
      <c r="G28" s="6" t="s">
        <v>34</v>
      </c>
      <c r="H28" s="4">
        <v>66</v>
      </c>
      <c r="I28" s="4">
        <v>58</v>
      </c>
      <c r="J28" s="4">
        <v>62</v>
      </c>
      <c r="K28" s="4">
        <f t="shared" si="0"/>
        <v>186</v>
      </c>
      <c r="L28" s="6">
        <f t="shared" si="1"/>
        <v>62</v>
      </c>
      <c r="M28" s="4">
        <f t="shared" si="2"/>
        <v>66</v>
      </c>
      <c r="N28" s="4">
        <f t="shared" si="3"/>
        <v>58</v>
      </c>
    </row>
    <row r="29" spans="6:14" x14ac:dyDescent="0.3">
      <c r="F29" s="4">
        <v>126</v>
      </c>
      <c r="G29" s="6" t="s">
        <v>35</v>
      </c>
      <c r="H29" s="4">
        <v>78</v>
      </c>
      <c r="I29" s="4">
        <v>84</v>
      </c>
      <c r="J29" s="4">
        <v>76</v>
      </c>
      <c r="K29" s="4">
        <f t="shared" si="0"/>
        <v>238</v>
      </c>
      <c r="L29" s="6">
        <f t="shared" si="1"/>
        <v>79.333333333333329</v>
      </c>
      <c r="M29" s="4">
        <f t="shared" si="2"/>
        <v>84</v>
      </c>
      <c r="N29" s="4">
        <f t="shared" si="3"/>
        <v>76</v>
      </c>
    </row>
    <row r="30" spans="6:14" x14ac:dyDescent="0.3">
      <c r="F30" s="4">
        <v>127</v>
      </c>
      <c r="G30" s="6" t="s">
        <v>36</v>
      </c>
      <c r="H30" s="4">
        <v>52</v>
      </c>
      <c r="I30" s="4">
        <v>49</v>
      </c>
      <c r="J30" s="4">
        <v>56</v>
      </c>
      <c r="K30" s="4">
        <f t="shared" si="0"/>
        <v>157</v>
      </c>
      <c r="L30" s="6">
        <f t="shared" si="1"/>
        <v>52.333333333333336</v>
      </c>
      <c r="M30" s="4">
        <f t="shared" si="2"/>
        <v>56</v>
      </c>
      <c r="N30" s="4">
        <f t="shared" si="3"/>
        <v>49</v>
      </c>
    </row>
    <row r="31" spans="6:14" x14ac:dyDescent="0.3">
      <c r="F31" s="4">
        <v>128</v>
      </c>
      <c r="G31" s="6" t="s">
        <v>37</v>
      </c>
      <c r="H31" s="4">
        <v>87</v>
      </c>
      <c r="I31" s="4">
        <v>93</v>
      </c>
      <c r="J31" s="4">
        <v>89</v>
      </c>
      <c r="K31" s="4">
        <f t="shared" si="0"/>
        <v>269</v>
      </c>
      <c r="L31" s="6">
        <f t="shared" si="1"/>
        <v>89.666666666666671</v>
      </c>
      <c r="M31" s="4">
        <f t="shared" si="2"/>
        <v>93</v>
      </c>
      <c r="N31" s="4">
        <f t="shared" si="3"/>
        <v>87</v>
      </c>
    </row>
    <row r="32" spans="6:14" x14ac:dyDescent="0.3">
      <c r="F32" s="4">
        <v>129</v>
      </c>
      <c r="G32" s="6" t="s">
        <v>38</v>
      </c>
      <c r="H32" s="4">
        <v>61</v>
      </c>
      <c r="I32" s="4">
        <v>67</v>
      </c>
      <c r="J32" s="4">
        <v>60</v>
      </c>
      <c r="K32" s="4">
        <f t="shared" si="0"/>
        <v>188</v>
      </c>
      <c r="L32" s="6">
        <f t="shared" si="1"/>
        <v>62.666666666666664</v>
      </c>
      <c r="M32" s="4">
        <f t="shared" si="2"/>
        <v>67</v>
      </c>
      <c r="N32" s="4">
        <f t="shared" si="3"/>
        <v>60</v>
      </c>
    </row>
    <row r="33" spans="6:14" x14ac:dyDescent="0.3">
      <c r="F33" s="4">
        <v>130</v>
      </c>
      <c r="G33" s="6" t="s">
        <v>39</v>
      </c>
      <c r="H33" s="4">
        <v>80</v>
      </c>
      <c r="I33" s="4">
        <v>75</v>
      </c>
      <c r="J33" s="4">
        <v>83</v>
      </c>
      <c r="K33" s="4">
        <f t="shared" si="0"/>
        <v>238</v>
      </c>
      <c r="L33" s="6">
        <f t="shared" si="1"/>
        <v>79.333333333333329</v>
      </c>
      <c r="M33" s="4">
        <f t="shared" si="2"/>
        <v>83</v>
      </c>
      <c r="N33" s="4">
        <f t="shared" si="3"/>
        <v>75</v>
      </c>
    </row>
    <row r="34" spans="6:14" x14ac:dyDescent="0.3">
      <c r="L34" s="1"/>
    </row>
    <row r="35" spans="6:14" x14ac:dyDescent="0.3">
      <c r="I35" s="1"/>
    </row>
  </sheetData>
  <mergeCells count="1">
    <mergeCell ref="F1:N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cp:lastPrinted>2026-08-04T15:27:27Z</cp:lastPrinted>
  <dcterms:created xsi:type="dcterms:W3CDTF">2026-08-04T06:15:24Z</dcterms:created>
  <dcterms:modified xsi:type="dcterms:W3CDTF">2026-08-04T15:31:03Z</dcterms:modified>
</cp:coreProperties>
</file>