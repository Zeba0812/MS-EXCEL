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Sheet1!$H$17:$H$22</definedName>
    <definedName name="_xlnm.Print_Area" localSheetId="0">Sheet1!$F$1:$M$38</definedName>
  </definedNames>
  <calcPr calcId="144525"/>
</workbook>
</file>

<file path=xl/calcChain.xml><?xml version="1.0" encoding="utf-8"?>
<calcChain xmlns="http://schemas.openxmlformats.org/spreadsheetml/2006/main">
  <c r="G38" i="1" l="1"/>
  <c r="G15" i="1"/>
  <c r="G14" i="1"/>
  <c r="G37" i="1" l="1"/>
  <c r="M36" i="1"/>
  <c r="M35" i="1"/>
  <c r="M34" i="1"/>
  <c r="M33" i="1"/>
  <c r="M32" i="1"/>
  <c r="M25" i="1" l="1"/>
  <c r="M27" i="1"/>
  <c r="M29" i="1"/>
  <c r="M26" i="1"/>
  <c r="M28" i="1"/>
  <c r="M13" i="1"/>
  <c r="M12" i="1"/>
  <c r="M11" i="1"/>
  <c r="M10" i="1"/>
  <c r="M9" i="1"/>
  <c r="M18" i="1"/>
  <c r="M20" i="1"/>
  <c r="M22" i="1"/>
  <c r="M19" i="1"/>
  <c r="M21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<sst xmlns="http://schemas.openxmlformats.org/spreadsheetml/2006/main" count="129" uniqueCount="27">
  <si>
    <t>Employee Id</t>
  </si>
  <si>
    <t>Name</t>
  </si>
  <si>
    <t>Department</t>
  </si>
  <si>
    <t>Position</t>
  </si>
  <si>
    <t>Joint Date</t>
  </si>
  <si>
    <t>Salary</t>
  </si>
  <si>
    <t>Bonus</t>
  </si>
  <si>
    <t>Total Salary</t>
  </si>
  <si>
    <t>John Smith</t>
  </si>
  <si>
    <t>Sarah Khan</t>
  </si>
  <si>
    <t>David Lee</t>
  </si>
  <si>
    <t>Emma Brown</t>
  </si>
  <si>
    <t>Michael Kim</t>
  </si>
  <si>
    <t>HR</t>
  </si>
  <si>
    <t>IT</t>
  </si>
  <si>
    <t>Sales</t>
  </si>
  <si>
    <t>Finance</t>
  </si>
  <si>
    <t>Manager</t>
  </si>
  <si>
    <t>Developer</t>
  </si>
  <si>
    <t>Executive</t>
  </si>
  <si>
    <t>Accountant</t>
  </si>
  <si>
    <t>15/01/2023</t>
  </si>
  <si>
    <t>22/07/2021</t>
  </si>
  <si>
    <t>New Join Date:-</t>
  </si>
  <si>
    <t>Newest Employee:-</t>
  </si>
  <si>
    <t>Highest-Paid Employee:-</t>
  </si>
  <si>
    <t>Highest Total Salary:-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</si>
</sst>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3" borderId="0" xfId="0" applyFill="1"/>
    <xf numFmtId="14" fontId="0" fillId="3" borderId="0" xfId="0" applyNumberFormat="1" applyFill="1" applyAlignment="1">
      <alignment horizontal="right"/>
    </xf>
    <xf numFmtId="0" fontId="0" fillId="3" borderId="0" xfId="0" applyFill="1" applyBorder="1" applyAlignment="1">
      <alignment horizontal="right"/>
    </xf>
    <xf numFmtId="0" fontId="0" fillId="2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F1:M38"/>
  <sheetViews>
    <sheetView tabSelected="1" workbookViewId="0">
      <selection activeCell="F1" sqref="F1:M38"/>
    </sheetView>
  </sheetViews>
  <sheetFormatPr defaultRowHeight="14.4" x14ac:dyDescent="0.3"/>
  <cols>
    <col min="6" max="6" width="22.109375" customWidth="1"/>
    <col min="7" max="7" width="11.77734375" customWidth="1"/>
    <col min="8" max="8" width="17.33203125" customWidth="1"/>
    <col min="9" max="9" width="11.88671875" customWidth="1"/>
    <col min="10" max="10" width="13.77734375" customWidth="1"/>
    <col min="11" max="11" width="9.6640625" customWidth="1"/>
    <col min="12" max="12" width="9.44140625" customWidth="1"/>
    <col min="13" max="13" width="15.109375" customWidth="1"/>
  </cols>
  <sheetData>
    <row r="1" spans="6:13" ht="15.6" x14ac:dyDescent="0.3"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6:13" x14ac:dyDescent="0.3">
      <c r="F2" s="3">
        <v>1001</v>
      </c>
      <c r="G2" s="3" t="s">
        <v>8</v>
      </c>
      <c r="H2" s="3" t="s">
        <v>13</v>
      </c>
      <c r="I2" s="3" t="s">
        <v>17</v>
      </c>
      <c r="J2" s="3" t="s">
        <v>21</v>
      </c>
      <c r="K2" s="3">
        <v>4500</v>
      </c>
      <c r="L2" s="3">
        <v>500</v>
      </c>
      <c r="M2" s="3">
        <f>SUM(K2:L2)</f>
        <v>5000</v>
      </c>
    </row>
    <row r="3" spans="6:13" x14ac:dyDescent="0.3">
      <c r="F3" s="3">
        <v>1002</v>
      </c>
      <c r="G3" s="3" t="s">
        <v>9</v>
      </c>
      <c r="H3" s="3" t="s">
        <v>14</v>
      </c>
      <c r="I3" s="3" t="s">
        <v>18</v>
      </c>
      <c r="J3" s="4">
        <v>44837</v>
      </c>
      <c r="K3" s="3">
        <v>5200</v>
      </c>
      <c r="L3" s="3">
        <v>800</v>
      </c>
      <c r="M3" s="3">
        <f>SUM(K3:L3)</f>
        <v>6000</v>
      </c>
    </row>
    <row r="4" spans="6:13" x14ac:dyDescent="0.3">
      <c r="F4" s="3">
        <v>1003</v>
      </c>
      <c r="G4" s="3" t="s">
        <v>10</v>
      </c>
      <c r="H4" s="3" t="s">
        <v>15</v>
      </c>
      <c r="I4" s="3" t="s">
        <v>19</v>
      </c>
      <c r="J4" s="3" t="s">
        <v>22</v>
      </c>
      <c r="K4" s="3">
        <v>4100</v>
      </c>
      <c r="L4" s="3">
        <v>600</v>
      </c>
      <c r="M4" s="3">
        <f>SUM(K4:L4)</f>
        <v>4700</v>
      </c>
    </row>
    <row r="5" spans="6:13" x14ac:dyDescent="0.3">
      <c r="F5" s="3">
        <v>1004</v>
      </c>
      <c r="G5" s="3" t="s">
        <v>11</v>
      </c>
      <c r="H5" s="3" t="s">
        <v>16</v>
      </c>
      <c r="I5" s="3" t="s">
        <v>20</v>
      </c>
      <c r="J5" s="4">
        <v>44176</v>
      </c>
      <c r="K5" s="3">
        <v>4800</v>
      </c>
      <c r="L5" s="3">
        <v>700</v>
      </c>
      <c r="M5" s="3">
        <f>SUM(K5:L5)</f>
        <v>5500</v>
      </c>
    </row>
    <row r="6" spans="6:13" x14ac:dyDescent="0.3">
      <c r="F6" s="3">
        <v>1005</v>
      </c>
      <c r="G6" s="3" t="s">
        <v>12</v>
      </c>
      <c r="H6" s="3" t="s">
        <v>14</v>
      </c>
      <c r="I6" s="3" t="s">
        <v>18</v>
      </c>
      <c r="J6" s="4">
        <v>45147</v>
      </c>
      <c r="K6" s="3">
        <v>5500</v>
      </c>
      <c r="L6" s="3">
        <v>900</v>
      </c>
      <c r="M6" s="3">
        <f>SUM(K6:L6)</f>
        <v>6400</v>
      </c>
    </row>
    <row r="8" spans="6:13" ht="15.6" x14ac:dyDescent="0.3">
      <c r="F8" s="10" t="s">
        <v>0</v>
      </c>
      <c r="G8" s="10" t="s">
        <v>1</v>
      </c>
      <c r="H8" s="10" t="s">
        <v>2</v>
      </c>
      <c r="I8" s="10" t="s">
        <v>3</v>
      </c>
      <c r="J8" s="10" t="s">
        <v>4</v>
      </c>
      <c r="K8" s="10" t="s">
        <v>5</v>
      </c>
      <c r="L8" s="10" t="s">
        <v>6</v>
      </c>
      <c r="M8" s="10" t="s">
        <v>7</v>
      </c>
    </row>
    <row r="9" spans="6:13" x14ac:dyDescent="0.3">
      <c r="F9" s="5">
        <v>1001</v>
      </c>
      <c r="G9" s="5" t="s">
        <v>8</v>
      </c>
      <c r="H9" s="5" t="s">
        <v>13</v>
      </c>
      <c r="I9" s="5" t="s">
        <v>17</v>
      </c>
      <c r="J9" s="5" t="s">
        <v>21</v>
      </c>
      <c r="K9" s="5">
        <v>4500</v>
      </c>
      <c r="L9" s="5">
        <v>500</v>
      </c>
      <c r="M9" s="5">
        <f>SUM(K9:L9)</f>
        <v>5000</v>
      </c>
    </row>
    <row r="10" spans="6:13" x14ac:dyDescent="0.3">
      <c r="F10" s="5">
        <v>1002</v>
      </c>
      <c r="G10" s="5" t="s">
        <v>9</v>
      </c>
      <c r="H10" s="5" t="s">
        <v>14</v>
      </c>
      <c r="I10" s="5" t="s">
        <v>18</v>
      </c>
      <c r="J10" s="6">
        <v>44837</v>
      </c>
      <c r="K10" s="5">
        <v>5200</v>
      </c>
      <c r="L10" s="5">
        <v>800</v>
      </c>
      <c r="M10" s="5">
        <f>SUM(K10:L10)</f>
        <v>6000</v>
      </c>
    </row>
    <row r="11" spans="6:13" x14ac:dyDescent="0.3">
      <c r="F11" s="5">
        <v>1003</v>
      </c>
      <c r="G11" s="5" t="s">
        <v>10</v>
      </c>
      <c r="H11" s="5" t="s">
        <v>15</v>
      </c>
      <c r="I11" s="5" t="s">
        <v>19</v>
      </c>
      <c r="J11" s="5" t="s">
        <v>22</v>
      </c>
      <c r="K11" s="5">
        <v>4100</v>
      </c>
      <c r="L11" s="5">
        <v>600</v>
      </c>
      <c r="M11" s="5">
        <f>SUM(K11:L11)</f>
        <v>4700</v>
      </c>
    </row>
    <row r="12" spans="6:13" x14ac:dyDescent="0.3">
      <c r="F12" s="5">
        <v>1004</v>
      </c>
      <c r="G12" s="5" t="s">
        <v>11</v>
      </c>
      <c r="H12" s="5" t="s">
        <v>16</v>
      </c>
      <c r="I12" s="5" t="s">
        <v>20</v>
      </c>
      <c r="J12" s="6">
        <v>44176</v>
      </c>
      <c r="K12" s="5">
        <v>4800</v>
      </c>
      <c r="L12" s="5">
        <v>700</v>
      </c>
      <c r="M12" s="5">
        <f>SUM(K12:L12)</f>
        <v>5500</v>
      </c>
    </row>
    <row r="13" spans="6:13" x14ac:dyDescent="0.3">
      <c r="F13" s="5">
        <v>1005</v>
      </c>
      <c r="G13" s="5" t="s">
        <v>12</v>
      </c>
      <c r="H13" s="5" t="s">
        <v>14</v>
      </c>
      <c r="I13" s="5" t="s">
        <v>18</v>
      </c>
      <c r="J13" s="6">
        <v>45147</v>
      </c>
      <c r="K13" s="5">
        <v>5500</v>
      </c>
      <c r="L13" s="5">
        <v>900</v>
      </c>
      <c r="M13" s="5">
        <f>SUM(K13:L13)</f>
        <v>6400</v>
      </c>
    </row>
    <row r="14" spans="6:13" x14ac:dyDescent="0.3">
      <c r="F14" s="11" t="s">
        <v>26</v>
      </c>
      <c r="G14" s="15">
        <f>MAX(M9:M13)</f>
        <v>6400</v>
      </c>
      <c r="H14" s="8"/>
      <c r="I14" s="8"/>
      <c r="J14" s="9"/>
      <c r="K14" s="8"/>
      <c r="L14" s="8"/>
      <c r="M14" s="8"/>
    </row>
    <row r="15" spans="6:13" x14ac:dyDescent="0.3">
      <c r="F15" s="11" t="s">
        <v>25</v>
      </c>
      <c r="G15" s="15" t="str">
        <f>INDEX(G9:G13,MATCH(MAX(M9:M13),M9:M13,0))</f>
        <v>Michael Kim</v>
      </c>
      <c r="H15" s="8"/>
      <c r="I15" s="8"/>
      <c r="J15" s="9"/>
      <c r="K15" s="8"/>
      <c r="L15" s="8"/>
      <c r="M15" s="8"/>
    </row>
    <row r="16" spans="6:13" x14ac:dyDescent="0.3">
      <c r="F16" s="8"/>
      <c r="G16" s="8"/>
      <c r="H16" s="8"/>
      <c r="I16" s="8"/>
      <c r="J16" s="9"/>
      <c r="K16" s="8"/>
      <c r="L16" s="8"/>
      <c r="M16" s="8"/>
    </row>
    <row r="17" spans="6:13" ht="18" x14ac:dyDescent="0.35">
      <c r="F17" s="7" t="s">
        <v>0</v>
      </c>
      <c r="G17" s="7" t="s">
        <v>1</v>
      </c>
      <c r="H17" s="7" t="s">
        <v>2</v>
      </c>
      <c r="I17" s="7" t="s">
        <v>3</v>
      </c>
      <c r="J17" s="7" t="s">
        <v>4</v>
      </c>
      <c r="K17" s="7" t="s">
        <v>5</v>
      </c>
      <c r="L17" s="7" t="s">
        <v>6</v>
      </c>
      <c r="M17" s="7" t="s">
        <v>7</v>
      </c>
    </row>
    <row r="18" spans="6:13" x14ac:dyDescent="0.3">
      <c r="F18" s="5">
        <v>1005</v>
      </c>
      <c r="G18" s="5" t="s">
        <v>12</v>
      </c>
      <c r="H18" s="5" t="s">
        <v>14</v>
      </c>
      <c r="I18" s="5" t="s">
        <v>18</v>
      </c>
      <c r="J18" s="6">
        <v>45147</v>
      </c>
      <c r="K18" s="5">
        <v>5500</v>
      </c>
      <c r="L18" s="5">
        <v>900</v>
      </c>
      <c r="M18" s="5">
        <f>SUM(K18:L18)</f>
        <v>6400</v>
      </c>
    </row>
    <row r="19" spans="6:13" x14ac:dyDescent="0.3">
      <c r="F19" s="5">
        <v>1002</v>
      </c>
      <c r="G19" s="5" t="s">
        <v>9</v>
      </c>
      <c r="H19" s="5" t="s">
        <v>14</v>
      </c>
      <c r="I19" s="5" t="s">
        <v>18</v>
      </c>
      <c r="J19" s="6">
        <v>44837</v>
      </c>
      <c r="K19" s="5">
        <v>5200</v>
      </c>
      <c r="L19" s="5">
        <v>800</v>
      </c>
      <c r="M19" s="5">
        <f>SUM(K19:L19)</f>
        <v>6000</v>
      </c>
    </row>
    <row r="20" spans="6:13" hidden="1" x14ac:dyDescent="0.3">
      <c r="F20">
        <v>1004</v>
      </c>
      <c r="G20" t="s">
        <v>11</v>
      </c>
      <c r="H20" t="s">
        <v>16</v>
      </c>
      <c r="I20" t="s">
        <v>20</v>
      </c>
      <c r="J20" s="1">
        <v>44176</v>
      </c>
      <c r="K20">
        <v>4800</v>
      </c>
      <c r="L20">
        <v>700</v>
      </c>
      <c r="M20">
        <f>SUM(K20:L20)</f>
        <v>5500</v>
      </c>
    </row>
    <row r="21" spans="6:13" hidden="1" x14ac:dyDescent="0.3">
      <c r="F21">
        <v>1001</v>
      </c>
      <c r="G21" t="s">
        <v>8</v>
      </c>
      <c r="H21" t="s">
        <v>13</v>
      </c>
      <c r="I21" t="s">
        <v>17</v>
      </c>
      <c r="J21" t="s">
        <v>21</v>
      </c>
      <c r="K21">
        <v>4500</v>
      </c>
      <c r="L21">
        <v>500</v>
      </c>
      <c r="M21">
        <f>SUM(K21:L21)</f>
        <v>5000</v>
      </c>
    </row>
    <row r="22" spans="6:13" hidden="1" x14ac:dyDescent="0.3">
      <c r="F22">
        <v>1003</v>
      </c>
      <c r="G22" t="s">
        <v>10</v>
      </c>
      <c r="H22" t="s">
        <v>15</v>
      </c>
      <c r="I22" t="s">
        <v>19</v>
      </c>
      <c r="J22" t="s">
        <v>22</v>
      </c>
      <c r="K22">
        <v>4100</v>
      </c>
      <c r="L22">
        <v>600</v>
      </c>
      <c r="M22">
        <f>SUM(K22:L22)</f>
        <v>4700</v>
      </c>
    </row>
    <row r="24" spans="6:13" ht="15.6" x14ac:dyDescent="0.3">
      <c r="F24" s="10" t="s">
        <v>0</v>
      </c>
      <c r="G24" s="10" t="s">
        <v>1</v>
      </c>
      <c r="H24" s="10" t="s">
        <v>2</v>
      </c>
      <c r="I24" s="10" t="s">
        <v>3</v>
      </c>
      <c r="J24" s="10" t="s">
        <v>4</v>
      </c>
      <c r="K24" s="10" t="s">
        <v>5</v>
      </c>
      <c r="L24" s="10" t="s">
        <v>6</v>
      </c>
      <c r="M24" s="10" t="s">
        <v>7</v>
      </c>
    </row>
    <row r="25" spans="6:13" x14ac:dyDescent="0.3">
      <c r="F25" s="5">
        <v>1005</v>
      </c>
      <c r="G25" s="5" t="s">
        <v>12</v>
      </c>
      <c r="H25" s="5" t="s">
        <v>14</v>
      </c>
      <c r="I25" s="5" t="s">
        <v>18</v>
      </c>
      <c r="J25" s="6">
        <v>45147</v>
      </c>
      <c r="K25" s="5">
        <v>5500</v>
      </c>
      <c r="L25" s="5">
        <v>900</v>
      </c>
      <c r="M25" s="5">
        <f>SUM(K25:L25)</f>
        <v>6400</v>
      </c>
    </row>
    <row r="26" spans="6:13" x14ac:dyDescent="0.3">
      <c r="F26" s="5">
        <v>1002</v>
      </c>
      <c r="G26" s="5" t="s">
        <v>9</v>
      </c>
      <c r="H26" s="5" t="s">
        <v>14</v>
      </c>
      <c r="I26" s="5" t="s">
        <v>18</v>
      </c>
      <c r="J26" s="6">
        <v>44837</v>
      </c>
      <c r="K26" s="5">
        <v>5200</v>
      </c>
      <c r="L26" s="5">
        <v>800</v>
      </c>
      <c r="M26" s="5">
        <f>SUM(K26:L26)</f>
        <v>6000</v>
      </c>
    </row>
    <row r="27" spans="6:13" x14ac:dyDescent="0.3">
      <c r="F27" s="5">
        <v>1004</v>
      </c>
      <c r="G27" s="5" t="s">
        <v>11</v>
      </c>
      <c r="H27" s="5" t="s">
        <v>16</v>
      </c>
      <c r="I27" s="5" t="s">
        <v>20</v>
      </c>
      <c r="J27" s="6">
        <v>44176</v>
      </c>
      <c r="K27" s="5">
        <v>4800</v>
      </c>
      <c r="L27" s="5">
        <v>700</v>
      </c>
      <c r="M27" s="5">
        <f>SUM(K27:L27)</f>
        <v>5500</v>
      </c>
    </row>
    <row r="28" spans="6:13" x14ac:dyDescent="0.3">
      <c r="F28" s="5">
        <v>1001</v>
      </c>
      <c r="G28" s="5" t="s">
        <v>8</v>
      </c>
      <c r="H28" s="5" t="s">
        <v>13</v>
      </c>
      <c r="I28" s="5" t="s">
        <v>17</v>
      </c>
      <c r="J28" s="5" t="s">
        <v>21</v>
      </c>
      <c r="K28" s="5">
        <v>4500</v>
      </c>
      <c r="L28" s="5">
        <v>500</v>
      </c>
      <c r="M28" s="5">
        <f>SUM(K28:L28)</f>
        <v>5000</v>
      </c>
    </row>
    <row r="29" spans="6:13" x14ac:dyDescent="0.3">
      <c r="F29" s="5">
        <v>1003</v>
      </c>
      <c r="G29" s="5" t="s">
        <v>10</v>
      </c>
      <c r="H29" s="5" t="s">
        <v>15</v>
      </c>
      <c r="I29" s="5" t="s">
        <v>19</v>
      </c>
      <c r="J29" s="5" t="s">
        <v>22</v>
      </c>
      <c r="K29" s="5">
        <v>4100</v>
      </c>
      <c r="L29" s="5">
        <v>600</v>
      </c>
      <c r="M29" s="5">
        <f>SUM(K29:L29)</f>
        <v>4700</v>
      </c>
    </row>
    <row r="31" spans="6:13" ht="15.6" x14ac:dyDescent="0.3">
      <c r="F31" s="10" t="s">
        <v>0</v>
      </c>
      <c r="G31" s="10" t="s">
        <v>1</v>
      </c>
      <c r="H31" s="10" t="s">
        <v>2</v>
      </c>
      <c r="I31" s="10" t="s">
        <v>3</v>
      </c>
      <c r="J31" s="10" t="s">
        <v>4</v>
      </c>
      <c r="K31" s="10" t="s">
        <v>5</v>
      </c>
      <c r="L31" s="10" t="s">
        <v>6</v>
      </c>
      <c r="M31" s="10" t="s">
        <v>7</v>
      </c>
    </row>
    <row r="32" spans="6:13" x14ac:dyDescent="0.3">
      <c r="F32" s="5">
        <v>1001</v>
      </c>
      <c r="G32" s="5" t="s">
        <v>8</v>
      </c>
      <c r="H32" s="5" t="s">
        <v>13</v>
      </c>
      <c r="I32" s="5" t="s">
        <v>17</v>
      </c>
      <c r="J32" s="5" t="s">
        <v>21</v>
      </c>
      <c r="K32" s="5">
        <v>4500</v>
      </c>
      <c r="L32" s="5">
        <v>500</v>
      </c>
      <c r="M32" s="5">
        <f>SUM(K32:L32)</f>
        <v>5000</v>
      </c>
    </row>
    <row r="33" spans="6:13" x14ac:dyDescent="0.3">
      <c r="F33" s="5">
        <v>1002</v>
      </c>
      <c r="G33" s="5" t="s">
        <v>9</v>
      </c>
      <c r="H33" s="5" t="s">
        <v>14</v>
      </c>
      <c r="I33" s="5" t="s">
        <v>18</v>
      </c>
      <c r="J33" s="6">
        <v>44837</v>
      </c>
      <c r="K33" s="5">
        <v>5200</v>
      </c>
      <c r="L33" s="5">
        <v>800</v>
      </c>
      <c r="M33" s="5">
        <f>SUM(K33:L33)</f>
        <v>6000</v>
      </c>
    </row>
    <row r="34" spans="6:13" x14ac:dyDescent="0.3">
      <c r="F34" s="5">
        <v>1003</v>
      </c>
      <c r="G34" s="5" t="s">
        <v>10</v>
      </c>
      <c r="H34" s="5" t="s">
        <v>15</v>
      </c>
      <c r="I34" s="5" t="s">
        <v>19</v>
      </c>
      <c r="J34" s="5" t="s">
        <v>22</v>
      </c>
      <c r="K34" s="5">
        <v>4100</v>
      </c>
      <c r="L34" s="5">
        <v>600</v>
      </c>
      <c r="M34" s="5">
        <f>SUM(K34:L34)</f>
        <v>4700</v>
      </c>
    </row>
    <row r="35" spans="6:13" x14ac:dyDescent="0.3">
      <c r="F35" s="5">
        <v>1004</v>
      </c>
      <c r="G35" s="5" t="s">
        <v>11</v>
      </c>
      <c r="H35" s="5" t="s">
        <v>16</v>
      </c>
      <c r="I35" s="5" t="s">
        <v>20</v>
      </c>
      <c r="J35" s="6">
        <v>44176</v>
      </c>
      <c r="K35" s="5">
        <v>4800</v>
      </c>
      <c r="L35" s="5">
        <v>700</v>
      </c>
      <c r="M35" s="5">
        <f>SUM(K35:L35)</f>
        <v>5500</v>
      </c>
    </row>
    <row r="36" spans="6:13" x14ac:dyDescent="0.3">
      <c r="F36" s="5">
        <v>1005</v>
      </c>
      <c r="G36" s="5" t="s">
        <v>12</v>
      </c>
      <c r="H36" s="5" t="s">
        <v>14</v>
      </c>
      <c r="I36" s="5" t="s">
        <v>18</v>
      </c>
      <c r="J36" s="6">
        <v>45147</v>
      </c>
      <c r="K36" s="5">
        <v>5500</v>
      </c>
      <c r="L36" s="5">
        <v>900</v>
      </c>
      <c r="M36" s="5">
        <f>SUM(K36:L36)</f>
        <v>6400</v>
      </c>
    </row>
    <row r="37" spans="6:13" x14ac:dyDescent="0.3">
      <c r="F37" s="12" t="s">
        <v>23</v>
      </c>
      <c r="G37" s="13">
        <f>MAX(J32:J36)</f>
        <v>45147</v>
      </c>
    </row>
    <row r="38" spans="6:13" x14ac:dyDescent="0.3">
      <c r="F38" s="12" t="s">
        <v>24</v>
      </c>
      <c r="G38" s="14" t="str">
        <f>INDEX(G32:G36,MATCH(MAX(J32:J36),J32:J36,0))</f>
        <v>Michael Kim</v>
      </c>
    </row>
  </sheetData>
  <autoFilter ref="H17:H22">
    <filterColumn colId="0">
      <filters>
        <filter val="IT"/>
      </filters>
    </filterColumn>
  </autoFilter>
  <sortState ref="F25:M29">
    <sortCondition descending="1" ref="K25:K29"/>
  </sortState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2026-08-16T03:09:53Z</cp:lastPrinted>
  <dcterms:created xsi:type="dcterms:W3CDTF">2026-08-13T17:28:30Z</dcterms:created>
  <dcterms:modified xsi:type="dcterms:W3CDTF">2026-08-16T03:09:56Z</dcterms:modified>
</cp:coreProperties>
</file>