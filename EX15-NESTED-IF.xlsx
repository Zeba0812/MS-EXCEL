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3" i="1"/>
  <c r="H4" i="1"/>
  <c r="H5" i="1"/>
  <c r="H6" i="1"/>
  <c r="H7" i="1"/>
  <c r="H8" i="1"/>
  <c r="H3" i="1"/>
  <c r="G4" i="1"/>
  <c r="G5" i="1"/>
  <c r="G6" i="1"/>
  <c r="G7" i="1"/>
  <c r="G8" i="1"/>
  <c r="G3" i="1"/>
  <c r="F4" i="1"/>
  <c r="F5" i="1"/>
  <c r="F6" i="1"/>
  <c r="F7" i="1"/>
  <c r="F8" i="1"/>
  <c r="F3" i="1"/>
  <c r="E4" i="1"/>
  <c r="E5" i="1"/>
  <c r="E6" i="1"/>
  <c r="E7" i="1"/>
  <c r="E8" i="1"/>
  <c r="E3" i="1"/>
  <c r="D4" i="1"/>
  <c r="D5" i="1"/>
  <c r="D6" i="1"/>
  <c r="D7" i="1"/>
  <c r="D8" i="1"/>
  <c r="D3" i="1"/>
</calcChain>
</file>

<file path=xl/sharedStrings.xml><?xml version="1.0" encoding="utf-8"?>
<sst xmlns="http://schemas.openxmlformats.org/spreadsheetml/2006/main" count="16" uniqueCount="16">
  <si>
    <t>Student Performance &amp; Evaluation Records</t>
  </si>
  <si>
    <t>Name</t>
  </si>
  <si>
    <t>Marks</t>
  </si>
  <si>
    <t>Attendance</t>
  </si>
  <si>
    <t>Grade</t>
  </si>
  <si>
    <t>Pass/Fail</t>
  </si>
  <si>
    <t>Student Rating</t>
  </si>
  <si>
    <t>Scholarship</t>
  </si>
  <si>
    <t>Bonus</t>
  </si>
  <si>
    <t>Annual Award</t>
  </si>
  <si>
    <t>John</t>
  </si>
  <si>
    <t>Sarah</t>
  </si>
  <si>
    <t>David</t>
  </si>
  <si>
    <t>Emma</t>
  </si>
  <si>
    <t>Michale</t>
  </si>
  <si>
    <t>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</si>
</sst>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P10" sqref="P10"/>
    </sheetView>
  </sheetViews>
  <sheetFormatPr defaultRowHeight="14.4" x14ac:dyDescent="0.3"/>
  <cols>
    <col min="3" max="3" width="11.44140625" customWidth="1"/>
    <col min="6" max="6" width="13.6640625" customWidth="1"/>
    <col min="7" max="7" width="11.33203125" customWidth="1"/>
    <col min="9" max="9" width="12.6640625" customWidth="1"/>
  </cols>
  <sheetData>
    <row r="1" spans="1:9" ht="21" x14ac:dyDescent="0.4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>
        <v>82</v>
      </c>
      <c r="C3" s="4">
        <v>0.9</v>
      </c>
      <c r="D3" s="3" t="str">
        <f>IF(B3&gt;=90,"A+",IF(B3&gt;=80,"A",IF(B3&gt;=70,"B",IF(B3&gt;=60,"C",IF(B3&gt;=50,"D","F")))))</f>
        <v>A</v>
      </c>
      <c r="E3" s="3" t="str">
        <f>IF(B3&gt;=50,"PASS","FAIL")</f>
        <v>PASS</v>
      </c>
      <c r="F3" s="3" t="str">
        <f>IF(B3&gt;=90,"Excellent",IF(B3&gt;=80,"Very Good",IF(B3&gt;=70,"Good",IF(B3&gt;=60,"Average",IF(B3&gt;=50,"Needs Improvement","poor")))))</f>
        <v>Very Good</v>
      </c>
      <c r="G3" s="3" t="str">
        <f>IF(AND(B3&gt;=80,C3&gt;=85%),"yes","no")</f>
        <v>yes</v>
      </c>
      <c r="H3" s="3" t="str">
        <f>IF(OR(B3&gt;=90,C3&gt;=95%),"yes","no")</f>
        <v>no</v>
      </c>
      <c r="I3" s="3" t="str">
        <f>IF(AND(B3&gt;=90,C3&gt;=90%),"yes","no")</f>
        <v>no</v>
      </c>
    </row>
    <row r="4" spans="1:9" x14ac:dyDescent="0.3">
      <c r="A4" s="3" t="s">
        <v>11</v>
      </c>
      <c r="B4" s="3">
        <v>45</v>
      </c>
      <c r="C4" s="4">
        <v>0.85</v>
      </c>
      <c r="D4" s="3" t="str">
        <f t="shared" ref="D4:D8" si="0">IF(B4&gt;=90,"A+",IF(B4&gt;=80,"A",IF(B4&gt;=70,"B",IF(B4&gt;=60,"C",IF(B4&gt;=50,"D","F")))))</f>
        <v>F</v>
      </c>
      <c r="E4" s="3" t="str">
        <f t="shared" ref="E4:E8" si="1">IF(B4&gt;=50,"PASS","FAIL")</f>
        <v>FAIL</v>
      </c>
      <c r="F4" s="3" t="str">
        <f t="shared" ref="F4:F8" si="2">IF(B4&gt;=90,"Excellent",IF(B4&gt;=80,"Very Good",IF(B4&gt;=70,"Good",IF(B4&gt;=60,"Average",IF(B4&gt;=50,"Needs Improvement","poor")))))</f>
        <v>poor</v>
      </c>
      <c r="G4" s="3" t="str">
        <f t="shared" ref="G4:G8" si="3">IF(AND(B4&gt;=80,C4&gt;=85%),"yes","no")</f>
        <v>no</v>
      </c>
      <c r="H4" s="3" t="str">
        <f t="shared" ref="H4:H8" si="4">IF(OR(B4&gt;=90,C4&gt;=95%),"yes","no")</f>
        <v>no</v>
      </c>
      <c r="I4" s="3" t="str">
        <f t="shared" ref="I4:I8" si="5">IF(AND(B4&gt;=90,C4&gt;=90%),"yes","no")</f>
        <v>no</v>
      </c>
    </row>
    <row r="5" spans="1:9" x14ac:dyDescent="0.3">
      <c r="A5" s="3" t="s">
        <v>12</v>
      </c>
      <c r="B5" s="3">
        <v>72</v>
      </c>
      <c r="C5" s="4">
        <v>0.65</v>
      </c>
      <c r="D5" s="3" t="str">
        <f t="shared" si="0"/>
        <v>B</v>
      </c>
      <c r="E5" s="3" t="str">
        <f t="shared" si="1"/>
        <v>PASS</v>
      </c>
      <c r="F5" s="3" t="str">
        <f t="shared" si="2"/>
        <v>Good</v>
      </c>
      <c r="G5" s="3" t="str">
        <f t="shared" si="3"/>
        <v>no</v>
      </c>
      <c r="H5" s="3" t="str">
        <f t="shared" si="4"/>
        <v>no</v>
      </c>
      <c r="I5" s="3" t="str">
        <f t="shared" si="5"/>
        <v>no</v>
      </c>
    </row>
    <row r="6" spans="1:9" x14ac:dyDescent="0.3">
      <c r="A6" s="3" t="s">
        <v>13</v>
      </c>
      <c r="B6" s="3">
        <v>91</v>
      </c>
      <c r="C6" s="4">
        <v>0.95</v>
      </c>
      <c r="D6" s="3" t="str">
        <f t="shared" si="0"/>
        <v>A+</v>
      </c>
      <c r="E6" s="3" t="str">
        <f t="shared" si="1"/>
        <v>PASS</v>
      </c>
      <c r="F6" s="3" t="str">
        <f t="shared" si="2"/>
        <v>Excellent</v>
      </c>
      <c r="G6" s="3" t="str">
        <f t="shared" si="3"/>
        <v>yes</v>
      </c>
      <c r="H6" s="3" t="str">
        <f t="shared" si="4"/>
        <v>yes</v>
      </c>
      <c r="I6" s="3" t="str">
        <f t="shared" si="5"/>
        <v>yes</v>
      </c>
    </row>
    <row r="7" spans="1:9" x14ac:dyDescent="0.3">
      <c r="A7" s="3" t="s">
        <v>14</v>
      </c>
      <c r="B7" s="3">
        <v>88</v>
      </c>
      <c r="C7" s="4">
        <v>0.78</v>
      </c>
      <c r="D7" s="3" t="str">
        <f t="shared" si="0"/>
        <v>A</v>
      </c>
      <c r="E7" s="3" t="str">
        <f t="shared" si="1"/>
        <v>PASS</v>
      </c>
      <c r="F7" s="3" t="str">
        <f t="shared" si="2"/>
        <v>Very Good</v>
      </c>
      <c r="G7" s="3" t="str">
        <f t="shared" si="3"/>
        <v>no</v>
      </c>
      <c r="H7" s="3" t="str">
        <f t="shared" si="4"/>
        <v>no</v>
      </c>
      <c r="I7" s="3" t="str">
        <f t="shared" si="5"/>
        <v>no</v>
      </c>
    </row>
    <row r="8" spans="1:9" x14ac:dyDescent="0.3">
      <c r="A8" s="3" t="s">
        <v>15</v>
      </c>
      <c r="B8" s="3">
        <v>96</v>
      </c>
      <c r="C8" s="4">
        <v>0.92</v>
      </c>
      <c r="D8" s="3" t="str">
        <f t="shared" si="0"/>
        <v>A+</v>
      </c>
      <c r="E8" s="3" t="str">
        <f t="shared" si="1"/>
        <v>PASS</v>
      </c>
      <c r="F8" s="3" t="str">
        <f t="shared" si="2"/>
        <v>Excellent</v>
      </c>
      <c r="G8" s="3" t="str">
        <f t="shared" si="3"/>
        <v>yes</v>
      </c>
      <c r="H8" s="3" t="str">
        <f t="shared" si="4"/>
        <v>yes</v>
      </c>
      <c r="I8" s="3" t="str">
        <f t="shared" si="5"/>
        <v>yes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dcterms:created xsi:type="dcterms:W3CDTF">2026-08-28T12:21:22Z</dcterms:created>
  <dcterms:modified xsi:type="dcterms:W3CDTF">2026-08-28T13:32:57Z</dcterms:modified>
</cp:coreProperties>
</file>