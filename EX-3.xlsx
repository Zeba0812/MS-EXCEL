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Sheet1!$F$1:$P$32</definedName>
  </definedNames>
  <calcPr calcId="144525"/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4" i="1"/>
  <c r="P3" i="1"/>
  <c r="O3" i="1" l="1"/>
  <c r="O20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<sst xmlns="http://schemas.openxmlformats.org/spreadsheetml/2006/main" count="42" uniqueCount="42">
  <si>
    <t>Student Marks Sheet</t>
  </si>
  <si>
    <t>Id</t>
  </si>
  <si>
    <t>Name</t>
  </si>
  <si>
    <t>English</t>
  </si>
  <si>
    <t>Math</t>
  </si>
  <si>
    <t>Science</t>
  </si>
  <si>
    <t>Total</t>
  </si>
  <si>
    <t>Average</t>
  </si>
  <si>
    <t>Highest</t>
  </si>
  <si>
    <t>Lowest</t>
  </si>
  <si>
    <t>Percentage</t>
  </si>
  <si>
    <t>Grade</t>
  </si>
  <si>
    <t>Mahin Muntasir</t>
  </si>
  <si>
    <t>Mohammad Tamim</t>
  </si>
  <si>
    <t>Fahmida Akhter Isha</t>
  </si>
  <si>
    <t>Sakif Hasan</t>
  </si>
  <si>
    <t>Mahin Shariyar</t>
  </si>
  <si>
    <t>Ethun Bala</t>
  </si>
  <si>
    <t>Tonushree Paul</t>
  </si>
  <si>
    <t>Humaira Tabassum Mou</t>
  </si>
  <si>
    <t>Mahima Mouri</t>
  </si>
  <si>
    <t>Tanjim Rafa</t>
  </si>
  <si>
    <t>Nushrat Shikder</t>
  </si>
  <si>
    <t>Adnan Sami</t>
  </si>
  <si>
    <t>Jannatul Mihika</t>
  </si>
  <si>
    <t>Arbin Rahman Riya</t>
  </si>
  <si>
    <t>Sumaiya Amin Tanha</t>
  </si>
  <si>
    <t>Topu Bachar</t>
  </si>
  <si>
    <t>Ranjida Akhter Remi</t>
  </si>
  <si>
    <t>Tasbia Haque Ekra</t>
  </si>
  <si>
    <t>Sagira Tabassum Zeba</t>
  </si>
  <si>
    <t xml:space="preserve">Jhuma Akhter </t>
  </si>
  <si>
    <t>Sajia Tasnim Proma</t>
  </si>
  <si>
    <t>Nusrat Jahan Arpy</t>
  </si>
  <si>
    <t>MD.Nazmul Hasan</t>
  </si>
  <si>
    <t>Samia Jahan Prachujo</t>
  </si>
  <si>
    <t>SK Rafidul Islam</t>
  </si>
  <si>
    <t>Alshahi Hasan</t>
  </si>
  <si>
    <t>Naimul Islam Rifat</t>
  </si>
  <si>
    <t>Mithila Farzana Swarna</t>
  </si>
  <si>
    <t>Khadija Akhter</t>
  </si>
  <si>
    <t>Dipjoti Kundu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</si>
</sst>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2"/>
      <color theme="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P32"/>
  <sheetViews>
    <sheetView tabSelected="1" workbookViewId="0">
      <selection activeCell="F1" sqref="F1:P32"/>
    </sheetView>
  </sheetViews>
  <sheetFormatPr defaultRowHeight="14.4" x14ac:dyDescent="0.3"/>
  <cols>
    <col min="5" max="5" width="9.88671875" customWidth="1"/>
    <col min="6" max="6" width="6.5546875" customWidth="1"/>
    <col min="7" max="7" width="20.33203125" customWidth="1"/>
    <col min="15" max="15" width="9.5546875" customWidth="1"/>
  </cols>
  <sheetData>
    <row r="1" spans="6:16" ht="27.6" x14ac:dyDescent="0.45">
      <c r="F1" s="11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6:16" ht="18" x14ac:dyDescent="0.35">
      <c r="F2" s="1" t="s">
        <v>1</v>
      </c>
      <c r="G2" s="1" t="s">
        <v>2</v>
      </c>
      <c r="H2" s="7" t="s">
        <v>3</v>
      </c>
      <c r="I2" s="7" t="s">
        <v>4</v>
      </c>
      <c r="J2" s="7" t="s">
        <v>5</v>
      </c>
      <c r="K2" s="3" t="s">
        <v>6</v>
      </c>
      <c r="L2" s="8" t="s">
        <v>7</v>
      </c>
      <c r="M2" s="8" t="s">
        <v>8</v>
      </c>
      <c r="N2" s="8" t="s">
        <v>9</v>
      </c>
      <c r="O2" s="8" t="s">
        <v>10</v>
      </c>
      <c r="P2" s="4" t="s">
        <v>11</v>
      </c>
    </row>
    <row r="3" spans="6:16" x14ac:dyDescent="0.3">
      <c r="F3" s="2">
        <v>101</v>
      </c>
      <c r="G3" s="5" t="s">
        <v>12</v>
      </c>
      <c r="H3" s="2">
        <v>85</v>
      </c>
      <c r="I3" s="2">
        <v>78</v>
      </c>
      <c r="J3" s="2">
        <v>92</v>
      </c>
      <c r="K3" s="2">
        <f t="shared" ref="K3:K31" si="0">SUM(H3:J3)</f>
        <v>255</v>
      </c>
      <c r="L3" s="6">
        <f t="shared" ref="L3:L32" si="1">AVERAGE(H3:J3)</f>
        <v>85</v>
      </c>
      <c r="M3" s="2">
        <f t="shared" ref="M3:M32" si="2">MAX(H3:J3)</f>
        <v>92</v>
      </c>
      <c r="N3" s="2">
        <f t="shared" ref="N3:N32" si="3">MIN(H3:J3)</f>
        <v>78</v>
      </c>
      <c r="O3" s="6">
        <f>(K3*100)/300</f>
        <v>85</v>
      </c>
      <c r="P3" s="2" t="str">
        <f>IF(O3&gt;=80,"A+",IF(O3&gt;=70,"A",IF(O3&gt;=60,"B",IF(O3&gt;=50,"C","FAIL"))))</f>
        <v>A+</v>
      </c>
    </row>
    <row r="4" spans="6:16" x14ac:dyDescent="0.3">
      <c r="F4" s="2">
        <v>102</v>
      </c>
      <c r="G4" s="5" t="s">
        <v>13</v>
      </c>
      <c r="H4" s="2">
        <v>72</v>
      </c>
      <c r="I4" s="2">
        <v>68</v>
      </c>
      <c r="J4" s="2">
        <v>75</v>
      </c>
      <c r="K4" s="2">
        <f t="shared" si="0"/>
        <v>215</v>
      </c>
      <c r="L4" s="6">
        <f t="shared" si="1"/>
        <v>71.666666666666671</v>
      </c>
      <c r="M4" s="2">
        <f t="shared" si="2"/>
        <v>75</v>
      </c>
      <c r="N4" s="2">
        <f t="shared" si="3"/>
        <v>68</v>
      </c>
      <c r="O4" s="6">
        <f t="shared" ref="O4:O16" si="4">K4/300*100</f>
        <v>71.666666666666671</v>
      </c>
      <c r="P4" s="2" t="str">
        <f>IF(O4&gt;=80,"A+",IF(O4&gt;=70,"A",IF(O4&gt;=60,"B",IF(O4&gt;=50,"C","FAIL"))))</f>
        <v>A</v>
      </c>
    </row>
    <row r="5" spans="6:16" x14ac:dyDescent="0.3">
      <c r="F5" s="2">
        <v>103</v>
      </c>
      <c r="G5" s="5" t="s">
        <v>14</v>
      </c>
      <c r="H5" s="2">
        <v>95</v>
      </c>
      <c r="I5" s="2">
        <v>88</v>
      </c>
      <c r="J5" s="2">
        <v>91</v>
      </c>
      <c r="K5" s="2">
        <f t="shared" si="0"/>
        <v>274</v>
      </c>
      <c r="L5" s="6">
        <f t="shared" si="1"/>
        <v>91.333333333333329</v>
      </c>
      <c r="M5" s="2">
        <f t="shared" si="2"/>
        <v>95</v>
      </c>
      <c r="N5" s="2">
        <f t="shared" si="3"/>
        <v>88</v>
      </c>
      <c r="O5" s="6">
        <f t="shared" si="4"/>
        <v>91.333333333333329</v>
      </c>
      <c r="P5" s="2" t="str">
        <f t="shared" ref="P5:P32" si="5">IF(O5&gt;=80,"A+",IF(O5&gt;=70,"A",IF(O5&gt;=60,"B",IF(O5&gt;=50,"C","FAIL"))))</f>
        <v>A+</v>
      </c>
    </row>
    <row r="6" spans="6:16" x14ac:dyDescent="0.3">
      <c r="F6" s="2">
        <v>104</v>
      </c>
      <c r="G6" s="5" t="s">
        <v>15</v>
      </c>
      <c r="H6" s="2">
        <v>64</v>
      </c>
      <c r="I6" s="2">
        <v>70</v>
      </c>
      <c r="J6" s="2">
        <v>66</v>
      </c>
      <c r="K6" s="2">
        <f t="shared" si="0"/>
        <v>200</v>
      </c>
      <c r="L6" s="6">
        <f t="shared" si="1"/>
        <v>66.666666666666671</v>
      </c>
      <c r="M6" s="2">
        <f t="shared" si="2"/>
        <v>70</v>
      </c>
      <c r="N6" s="2">
        <f t="shared" si="3"/>
        <v>64</v>
      </c>
      <c r="O6" s="6">
        <f t="shared" si="4"/>
        <v>66.666666666666657</v>
      </c>
      <c r="P6" s="2" t="str">
        <f t="shared" si="5"/>
        <v>B</v>
      </c>
    </row>
    <row r="7" spans="6:16" x14ac:dyDescent="0.3">
      <c r="F7" s="2">
        <v>105</v>
      </c>
      <c r="G7" s="5" t="s">
        <v>16</v>
      </c>
      <c r="H7" s="2">
        <v>58</v>
      </c>
      <c r="I7" s="2">
        <v>62</v>
      </c>
      <c r="J7" s="2">
        <v>55</v>
      </c>
      <c r="K7" s="2">
        <f t="shared" si="0"/>
        <v>175</v>
      </c>
      <c r="L7" s="6">
        <f t="shared" si="1"/>
        <v>58.333333333333336</v>
      </c>
      <c r="M7" s="2">
        <f t="shared" si="2"/>
        <v>62</v>
      </c>
      <c r="N7" s="2">
        <f t="shared" si="3"/>
        <v>55</v>
      </c>
      <c r="O7" s="6">
        <f t="shared" si="4"/>
        <v>58.333333333333336</v>
      </c>
      <c r="P7" s="2" t="str">
        <f t="shared" si="5"/>
        <v>C</v>
      </c>
    </row>
    <row r="8" spans="6:16" x14ac:dyDescent="0.3">
      <c r="F8" s="2">
        <v>106</v>
      </c>
      <c r="G8" s="5" t="s">
        <v>17</v>
      </c>
      <c r="H8" s="2">
        <v>81</v>
      </c>
      <c r="I8" s="2">
        <v>76</v>
      </c>
      <c r="J8" s="2">
        <v>84</v>
      </c>
      <c r="K8" s="2">
        <f t="shared" si="0"/>
        <v>241</v>
      </c>
      <c r="L8" s="6">
        <f t="shared" si="1"/>
        <v>80.333333333333329</v>
      </c>
      <c r="M8" s="2">
        <f t="shared" si="2"/>
        <v>84</v>
      </c>
      <c r="N8" s="2">
        <f t="shared" si="3"/>
        <v>76</v>
      </c>
      <c r="O8" s="6">
        <f t="shared" si="4"/>
        <v>80.333333333333329</v>
      </c>
      <c r="P8" s="2" t="str">
        <f t="shared" si="5"/>
        <v>A+</v>
      </c>
    </row>
    <row r="9" spans="6:16" x14ac:dyDescent="0.3">
      <c r="F9" s="2">
        <v>107</v>
      </c>
      <c r="G9" s="5" t="s">
        <v>18</v>
      </c>
      <c r="H9" s="2">
        <v>49</v>
      </c>
      <c r="I9" s="2">
        <v>55</v>
      </c>
      <c r="J9" s="2">
        <v>52</v>
      </c>
      <c r="K9" s="2">
        <f t="shared" si="0"/>
        <v>156</v>
      </c>
      <c r="L9" s="6">
        <f t="shared" si="1"/>
        <v>52</v>
      </c>
      <c r="M9" s="2">
        <f t="shared" si="2"/>
        <v>55</v>
      </c>
      <c r="N9" s="2">
        <f t="shared" si="3"/>
        <v>49</v>
      </c>
      <c r="O9" s="6">
        <f t="shared" si="4"/>
        <v>52</v>
      </c>
      <c r="P9" s="2" t="str">
        <f t="shared" si="5"/>
        <v>C</v>
      </c>
    </row>
    <row r="10" spans="6:16" x14ac:dyDescent="0.3">
      <c r="F10" s="2">
        <v>108</v>
      </c>
      <c r="G10" s="5" t="s">
        <v>19</v>
      </c>
      <c r="H10" s="2">
        <v>73</v>
      </c>
      <c r="I10" s="2">
        <v>80</v>
      </c>
      <c r="J10" s="2">
        <v>77</v>
      </c>
      <c r="K10" s="2">
        <f t="shared" si="0"/>
        <v>230</v>
      </c>
      <c r="L10" s="6">
        <f t="shared" si="1"/>
        <v>76.666666666666671</v>
      </c>
      <c r="M10" s="2">
        <f t="shared" si="2"/>
        <v>80</v>
      </c>
      <c r="N10" s="2">
        <f t="shared" si="3"/>
        <v>73</v>
      </c>
      <c r="O10" s="6">
        <f t="shared" si="4"/>
        <v>76.666666666666671</v>
      </c>
      <c r="P10" s="2" t="str">
        <f t="shared" si="5"/>
        <v>A</v>
      </c>
    </row>
    <row r="11" spans="6:16" x14ac:dyDescent="0.3">
      <c r="F11" s="2">
        <v>109</v>
      </c>
      <c r="G11" s="5" t="s">
        <v>20</v>
      </c>
      <c r="H11" s="2">
        <v>67</v>
      </c>
      <c r="I11" s="2">
        <v>59</v>
      </c>
      <c r="J11" s="2">
        <v>65</v>
      </c>
      <c r="K11" s="2">
        <f t="shared" si="0"/>
        <v>191</v>
      </c>
      <c r="L11" s="6">
        <f t="shared" si="1"/>
        <v>63.666666666666664</v>
      </c>
      <c r="M11" s="2">
        <f t="shared" si="2"/>
        <v>67</v>
      </c>
      <c r="N11" s="2">
        <f t="shared" si="3"/>
        <v>59</v>
      </c>
      <c r="O11" s="6">
        <f t="shared" si="4"/>
        <v>63.666666666666671</v>
      </c>
      <c r="P11" s="2" t="str">
        <f t="shared" si="5"/>
        <v>B</v>
      </c>
    </row>
    <row r="12" spans="6:16" x14ac:dyDescent="0.3">
      <c r="F12" s="2">
        <v>110</v>
      </c>
      <c r="G12" s="5" t="s">
        <v>21</v>
      </c>
      <c r="H12" s="2">
        <v>90</v>
      </c>
      <c r="I12" s="2">
        <v>94</v>
      </c>
      <c r="J12" s="2">
        <v>87</v>
      </c>
      <c r="K12" s="2">
        <f t="shared" si="0"/>
        <v>271</v>
      </c>
      <c r="L12" s="6">
        <f t="shared" si="1"/>
        <v>90.333333333333329</v>
      </c>
      <c r="M12" s="2">
        <f t="shared" si="2"/>
        <v>94</v>
      </c>
      <c r="N12" s="2">
        <f t="shared" si="3"/>
        <v>87</v>
      </c>
      <c r="O12" s="6">
        <f t="shared" si="4"/>
        <v>90.333333333333329</v>
      </c>
      <c r="P12" s="2" t="str">
        <f t="shared" si="5"/>
        <v>A+</v>
      </c>
    </row>
    <row r="13" spans="6:16" x14ac:dyDescent="0.3">
      <c r="F13" s="2">
        <v>111</v>
      </c>
      <c r="G13" s="5" t="s">
        <v>22</v>
      </c>
      <c r="H13" s="2">
        <v>76</v>
      </c>
      <c r="I13" s="2">
        <v>82</v>
      </c>
      <c r="J13" s="2">
        <v>71</v>
      </c>
      <c r="K13" s="2">
        <f t="shared" si="0"/>
        <v>229</v>
      </c>
      <c r="L13" s="6">
        <f t="shared" si="1"/>
        <v>76.333333333333329</v>
      </c>
      <c r="M13" s="2">
        <f t="shared" si="2"/>
        <v>82</v>
      </c>
      <c r="N13" s="2">
        <f t="shared" si="3"/>
        <v>71</v>
      </c>
      <c r="O13" s="6">
        <f t="shared" si="4"/>
        <v>76.333333333333329</v>
      </c>
      <c r="P13" s="2" t="str">
        <f t="shared" si="5"/>
        <v>A</v>
      </c>
    </row>
    <row r="14" spans="6:16" x14ac:dyDescent="0.3">
      <c r="F14" s="2">
        <v>112</v>
      </c>
      <c r="G14" s="5" t="s">
        <v>23</v>
      </c>
      <c r="H14" s="2">
        <v>88</v>
      </c>
      <c r="I14" s="2">
        <v>91</v>
      </c>
      <c r="J14" s="2">
        <v>85</v>
      </c>
      <c r="K14" s="2">
        <f t="shared" si="0"/>
        <v>264</v>
      </c>
      <c r="L14" s="6">
        <f t="shared" si="1"/>
        <v>88</v>
      </c>
      <c r="M14" s="2">
        <f t="shared" si="2"/>
        <v>91</v>
      </c>
      <c r="N14" s="2">
        <f t="shared" si="3"/>
        <v>85</v>
      </c>
      <c r="O14" s="6">
        <f t="shared" si="4"/>
        <v>88</v>
      </c>
      <c r="P14" s="2" t="str">
        <f t="shared" si="5"/>
        <v>A+</v>
      </c>
    </row>
    <row r="15" spans="6:16" x14ac:dyDescent="0.3">
      <c r="F15" s="2">
        <v>113</v>
      </c>
      <c r="G15" s="5" t="s">
        <v>24</v>
      </c>
      <c r="H15" s="2">
        <v>54</v>
      </c>
      <c r="I15" s="2">
        <v>61</v>
      </c>
      <c r="J15" s="2">
        <v>58</v>
      </c>
      <c r="K15" s="2">
        <f t="shared" si="0"/>
        <v>173</v>
      </c>
      <c r="L15" s="6">
        <f t="shared" si="1"/>
        <v>57.666666666666664</v>
      </c>
      <c r="M15" s="2">
        <f t="shared" si="2"/>
        <v>61</v>
      </c>
      <c r="N15" s="2">
        <f t="shared" si="3"/>
        <v>54</v>
      </c>
      <c r="O15" s="6">
        <f t="shared" si="4"/>
        <v>57.666666666666664</v>
      </c>
      <c r="P15" s="2" t="str">
        <f t="shared" si="5"/>
        <v>C</v>
      </c>
    </row>
    <row r="16" spans="6:16" x14ac:dyDescent="0.3">
      <c r="F16" s="2">
        <v>114</v>
      </c>
      <c r="G16" s="5" t="s">
        <v>25</v>
      </c>
      <c r="H16" s="2">
        <v>79</v>
      </c>
      <c r="I16" s="2">
        <v>74</v>
      </c>
      <c r="J16" s="2">
        <v>81</v>
      </c>
      <c r="K16" s="2">
        <f t="shared" si="0"/>
        <v>234</v>
      </c>
      <c r="L16" s="6">
        <f t="shared" si="1"/>
        <v>78</v>
      </c>
      <c r="M16" s="2">
        <f t="shared" si="2"/>
        <v>81</v>
      </c>
      <c r="N16" s="2">
        <f t="shared" si="3"/>
        <v>74</v>
      </c>
      <c r="O16" s="6">
        <f t="shared" si="4"/>
        <v>78</v>
      </c>
      <c r="P16" s="2" t="str">
        <f t="shared" si="5"/>
        <v>A</v>
      </c>
    </row>
    <row r="17" spans="6:16" x14ac:dyDescent="0.3">
      <c r="F17" s="2">
        <v>115</v>
      </c>
      <c r="G17" s="5" t="s">
        <v>26</v>
      </c>
      <c r="H17" s="2">
        <v>63</v>
      </c>
      <c r="I17" s="2">
        <v>57</v>
      </c>
      <c r="J17" s="2">
        <v>69</v>
      </c>
      <c r="K17" s="2">
        <f t="shared" si="0"/>
        <v>189</v>
      </c>
      <c r="L17" s="6">
        <f t="shared" si="1"/>
        <v>63</v>
      </c>
      <c r="M17" s="2">
        <f t="shared" si="2"/>
        <v>69</v>
      </c>
      <c r="N17" s="2">
        <f t="shared" si="3"/>
        <v>57</v>
      </c>
      <c r="O17" s="6">
        <v>63</v>
      </c>
      <c r="P17" s="2" t="str">
        <f t="shared" si="5"/>
        <v>B</v>
      </c>
    </row>
    <row r="18" spans="6:16" x14ac:dyDescent="0.3">
      <c r="F18" s="2">
        <v>116</v>
      </c>
      <c r="G18" s="5" t="s">
        <v>27</v>
      </c>
      <c r="H18" s="2">
        <v>92</v>
      </c>
      <c r="I18" s="2">
        <v>86</v>
      </c>
      <c r="J18" s="2">
        <v>95</v>
      </c>
      <c r="K18" s="9">
        <f t="shared" si="0"/>
        <v>273</v>
      </c>
      <c r="L18" s="6">
        <f t="shared" si="1"/>
        <v>91</v>
      </c>
      <c r="M18" s="2">
        <f t="shared" si="2"/>
        <v>95</v>
      </c>
      <c r="N18" s="2">
        <f t="shared" si="3"/>
        <v>86</v>
      </c>
      <c r="O18" s="10">
        <v>91</v>
      </c>
      <c r="P18" s="2" t="str">
        <f t="shared" si="5"/>
        <v>A+</v>
      </c>
    </row>
    <row r="19" spans="6:16" x14ac:dyDescent="0.3">
      <c r="F19" s="2">
        <v>117</v>
      </c>
      <c r="G19" s="5" t="s">
        <v>28</v>
      </c>
      <c r="H19" s="2">
        <v>71</v>
      </c>
      <c r="I19" s="2">
        <v>65</v>
      </c>
      <c r="J19" s="2">
        <v>73</v>
      </c>
      <c r="K19" s="2">
        <f t="shared" si="0"/>
        <v>209</v>
      </c>
      <c r="L19" s="6">
        <f t="shared" si="1"/>
        <v>69.666666666666671</v>
      </c>
      <c r="M19" s="2">
        <f t="shared" si="2"/>
        <v>73</v>
      </c>
      <c r="N19" s="2">
        <f t="shared" si="3"/>
        <v>65</v>
      </c>
      <c r="O19" s="6">
        <v>69.666669999999996</v>
      </c>
      <c r="P19" s="2" t="str">
        <f t="shared" si="5"/>
        <v>B</v>
      </c>
    </row>
    <row r="20" spans="6:16" x14ac:dyDescent="0.3">
      <c r="F20" s="2">
        <v>118</v>
      </c>
      <c r="G20" s="5" t="s">
        <v>30</v>
      </c>
      <c r="H20" s="2">
        <v>83</v>
      </c>
      <c r="I20" s="2">
        <v>79</v>
      </c>
      <c r="J20" s="2">
        <v>88</v>
      </c>
      <c r="K20" s="2">
        <f t="shared" si="0"/>
        <v>250</v>
      </c>
      <c r="L20" s="6">
        <f t="shared" si="1"/>
        <v>83.333333333333329</v>
      </c>
      <c r="M20" s="2">
        <f t="shared" si="2"/>
        <v>88</v>
      </c>
      <c r="N20" s="2">
        <f t="shared" si="3"/>
        <v>79</v>
      </c>
      <c r="O20" s="6">
        <f>K20/300*100</f>
        <v>83.333333333333343</v>
      </c>
      <c r="P20" s="2" t="str">
        <f t="shared" si="5"/>
        <v>A+</v>
      </c>
    </row>
    <row r="21" spans="6:16" x14ac:dyDescent="0.3">
      <c r="F21" s="2">
        <v>119</v>
      </c>
      <c r="G21" s="5" t="s">
        <v>29</v>
      </c>
      <c r="H21" s="2">
        <v>47</v>
      </c>
      <c r="I21" s="2">
        <v>52</v>
      </c>
      <c r="J21" s="2">
        <v>49</v>
      </c>
      <c r="K21" s="2">
        <f t="shared" si="0"/>
        <v>148</v>
      </c>
      <c r="L21" s="6">
        <f t="shared" si="1"/>
        <v>49.333333333333336</v>
      </c>
      <c r="M21" s="2">
        <f t="shared" si="2"/>
        <v>52</v>
      </c>
      <c r="N21" s="2">
        <f t="shared" si="3"/>
        <v>47</v>
      </c>
      <c r="O21" s="6">
        <v>49.333329999999997</v>
      </c>
      <c r="P21" s="2" t="str">
        <f t="shared" si="5"/>
        <v>FAIL</v>
      </c>
    </row>
    <row r="22" spans="6:16" x14ac:dyDescent="0.3">
      <c r="F22" s="2">
        <v>120</v>
      </c>
      <c r="G22" s="5" t="s">
        <v>31</v>
      </c>
      <c r="H22" s="2">
        <v>69</v>
      </c>
      <c r="I22" s="2">
        <v>72</v>
      </c>
      <c r="J22" s="2">
        <v>64</v>
      </c>
      <c r="K22" s="2">
        <f t="shared" si="0"/>
        <v>205</v>
      </c>
      <c r="L22" s="6">
        <f t="shared" si="1"/>
        <v>68.333333333333329</v>
      </c>
      <c r="M22" s="2">
        <f t="shared" si="2"/>
        <v>72</v>
      </c>
      <c r="N22" s="2">
        <f t="shared" si="3"/>
        <v>64</v>
      </c>
      <c r="O22" s="6">
        <v>68.333330000000004</v>
      </c>
      <c r="P22" s="2" t="str">
        <f t="shared" si="5"/>
        <v>B</v>
      </c>
    </row>
    <row r="23" spans="6:16" x14ac:dyDescent="0.3">
      <c r="F23" s="2">
        <v>121</v>
      </c>
      <c r="G23" s="5" t="s">
        <v>32</v>
      </c>
      <c r="H23" s="2">
        <v>86</v>
      </c>
      <c r="I23" s="2">
        <v>90</v>
      </c>
      <c r="J23" s="2">
        <v>82</v>
      </c>
      <c r="K23" s="2">
        <f t="shared" si="0"/>
        <v>258</v>
      </c>
      <c r="L23" s="6">
        <f t="shared" si="1"/>
        <v>86</v>
      </c>
      <c r="M23" s="2">
        <f t="shared" si="2"/>
        <v>90</v>
      </c>
      <c r="N23" s="2">
        <f t="shared" si="3"/>
        <v>82</v>
      </c>
      <c r="O23" s="6">
        <v>86</v>
      </c>
      <c r="P23" s="2" t="str">
        <f t="shared" si="5"/>
        <v>A+</v>
      </c>
    </row>
    <row r="24" spans="6:16" x14ac:dyDescent="0.3">
      <c r="F24" s="2">
        <v>122</v>
      </c>
      <c r="G24" s="5" t="s">
        <v>33</v>
      </c>
      <c r="H24" s="2">
        <v>74</v>
      </c>
      <c r="I24" s="2">
        <v>77</v>
      </c>
      <c r="J24" s="2">
        <v>70</v>
      </c>
      <c r="K24" s="2">
        <f t="shared" si="0"/>
        <v>221</v>
      </c>
      <c r="L24" s="6">
        <f t="shared" si="1"/>
        <v>73.666666666666671</v>
      </c>
      <c r="M24" s="2">
        <f t="shared" si="2"/>
        <v>77</v>
      </c>
      <c r="N24" s="2">
        <f t="shared" si="3"/>
        <v>70</v>
      </c>
      <c r="O24" s="6">
        <v>73.666669999999996</v>
      </c>
      <c r="P24" s="2" t="str">
        <f t="shared" si="5"/>
        <v>A</v>
      </c>
    </row>
    <row r="25" spans="6:16" x14ac:dyDescent="0.3">
      <c r="F25" s="2">
        <v>123</v>
      </c>
      <c r="G25" s="5" t="s">
        <v>34</v>
      </c>
      <c r="H25" s="2">
        <v>59</v>
      </c>
      <c r="I25" s="2">
        <v>63</v>
      </c>
      <c r="J25" s="2">
        <v>57</v>
      </c>
      <c r="K25" s="2">
        <f t="shared" si="0"/>
        <v>179</v>
      </c>
      <c r="L25" s="6">
        <f t="shared" si="1"/>
        <v>59.666666666666664</v>
      </c>
      <c r="M25" s="2">
        <f t="shared" si="2"/>
        <v>63</v>
      </c>
      <c r="N25" s="2">
        <f t="shared" si="3"/>
        <v>57</v>
      </c>
      <c r="O25" s="6">
        <v>59.666670000000003</v>
      </c>
      <c r="P25" s="2" t="str">
        <f t="shared" si="5"/>
        <v>C</v>
      </c>
    </row>
    <row r="26" spans="6:16" x14ac:dyDescent="0.3">
      <c r="F26" s="2">
        <v>124</v>
      </c>
      <c r="G26" s="5" t="s">
        <v>35</v>
      </c>
      <c r="H26" s="2">
        <v>91</v>
      </c>
      <c r="I26" s="2">
        <v>89</v>
      </c>
      <c r="J26" s="2">
        <v>93</v>
      </c>
      <c r="K26" s="9">
        <f t="shared" si="0"/>
        <v>273</v>
      </c>
      <c r="L26" s="6">
        <f t="shared" si="1"/>
        <v>91</v>
      </c>
      <c r="M26" s="2">
        <f t="shared" si="2"/>
        <v>93</v>
      </c>
      <c r="N26" s="2">
        <f t="shared" si="3"/>
        <v>89</v>
      </c>
      <c r="O26" s="10">
        <v>91</v>
      </c>
      <c r="P26" s="2" t="str">
        <f t="shared" si="5"/>
        <v>A+</v>
      </c>
    </row>
    <row r="27" spans="6:16" x14ac:dyDescent="0.3">
      <c r="F27" s="2">
        <v>125</v>
      </c>
      <c r="G27" s="5" t="s">
        <v>36</v>
      </c>
      <c r="H27" s="2">
        <v>66</v>
      </c>
      <c r="I27" s="2">
        <v>58</v>
      </c>
      <c r="J27" s="2">
        <v>62</v>
      </c>
      <c r="K27" s="2">
        <f t="shared" si="0"/>
        <v>186</v>
      </c>
      <c r="L27" s="6">
        <f t="shared" si="1"/>
        <v>62</v>
      </c>
      <c r="M27" s="2">
        <f t="shared" si="2"/>
        <v>66</v>
      </c>
      <c r="N27" s="2">
        <f t="shared" si="3"/>
        <v>58</v>
      </c>
      <c r="O27" s="6">
        <v>62</v>
      </c>
      <c r="P27" s="2" t="str">
        <f t="shared" si="5"/>
        <v>B</v>
      </c>
    </row>
    <row r="28" spans="6:16" x14ac:dyDescent="0.3">
      <c r="F28" s="2">
        <v>126</v>
      </c>
      <c r="G28" s="5" t="s">
        <v>37</v>
      </c>
      <c r="H28" s="2">
        <v>78</v>
      </c>
      <c r="I28" s="2">
        <v>84</v>
      </c>
      <c r="J28" s="2">
        <v>76</v>
      </c>
      <c r="K28" s="2">
        <f t="shared" si="0"/>
        <v>238</v>
      </c>
      <c r="L28" s="6">
        <f t="shared" si="1"/>
        <v>79.333333333333329</v>
      </c>
      <c r="M28" s="2">
        <f t="shared" si="2"/>
        <v>84</v>
      </c>
      <c r="N28" s="2">
        <f t="shared" si="3"/>
        <v>76</v>
      </c>
      <c r="O28" s="6">
        <v>79.333330000000004</v>
      </c>
      <c r="P28" s="2" t="str">
        <f t="shared" si="5"/>
        <v>A</v>
      </c>
    </row>
    <row r="29" spans="6:16" x14ac:dyDescent="0.3">
      <c r="F29" s="2">
        <v>127</v>
      </c>
      <c r="G29" s="5" t="s">
        <v>38</v>
      </c>
      <c r="H29" s="2">
        <v>52</v>
      </c>
      <c r="I29" s="2">
        <v>49</v>
      </c>
      <c r="J29" s="2">
        <v>56</v>
      </c>
      <c r="K29" s="2">
        <f t="shared" si="0"/>
        <v>157</v>
      </c>
      <c r="L29" s="6">
        <f t="shared" si="1"/>
        <v>52.333333333333336</v>
      </c>
      <c r="M29" s="2">
        <f t="shared" si="2"/>
        <v>56</v>
      </c>
      <c r="N29" s="2">
        <f t="shared" si="3"/>
        <v>49</v>
      </c>
      <c r="O29" s="6">
        <v>52.333329999999997</v>
      </c>
      <c r="P29" s="2" t="str">
        <f t="shared" si="5"/>
        <v>C</v>
      </c>
    </row>
    <row r="30" spans="6:16" x14ac:dyDescent="0.3">
      <c r="F30" s="2">
        <v>128</v>
      </c>
      <c r="G30" s="5" t="s">
        <v>39</v>
      </c>
      <c r="H30" s="2">
        <v>87</v>
      </c>
      <c r="I30" s="2">
        <v>93</v>
      </c>
      <c r="J30" s="2">
        <v>89</v>
      </c>
      <c r="K30" s="2">
        <f t="shared" si="0"/>
        <v>269</v>
      </c>
      <c r="L30" s="6">
        <f t="shared" si="1"/>
        <v>89.666666666666671</v>
      </c>
      <c r="M30" s="2">
        <f t="shared" si="2"/>
        <v>93</v>
      </c>
      <c r="N30" s="2">
        <f t="shared" si="3"/>
        <v>87</v>
      </c>
      <c r="O30" s="6">
        <v>89.666669999999996</v>
      </c>
      <c r="P30" s="2" t="str">
        <f t="shared" si="5"/>
        <v>A+</v>
      </c>
    </row>
    <row r="31" spans="6:16" x14ac:dyDescent="0.3">
      <c r="F31" s="2">
        <v>129</v>
      </c>
      <c r="G31" s="5" t="s">
        <v>40</v>
      </c>
      <c r="H31" s="2">
        <v>61</v>
      </c>
      <c r="I31" s="2">
        <v>67</v>
      </c>
      <c r="J31" s="2">
        <v>60</v>
      </c>
      <c r="K31" s="2">
        <f t="shared" si="0"/>
        <v>188</v>
      </c>
      <c r="L31" s="6">
        <f t="shared" si="1"/>
        <v>62.666666666666664</v>
      </c>
      <c r="M31" s="2">
        <f t="shared" si="2"/>
        <v>67</v>
      </c>
      <c r="N31" s="2">
        <f t="shared" si="3"/>
        <v>60</v>
      </c>
      <c r="O31" s="6">
        <v>62.666670000000003</v>
      </c>
      <c r="P31" s="2" t="str">
        <f t="shared" si="5"/>
        <v>B</v>
      </c>
    </row>
    <row r="32" spans="6:16" x14ac:dyDescent="0.3">
      <c r="F32" s="2">
        <v>130</v>
      </c>
      <c r="G32" s="5" t="s">
        <v>41</v>
      </c>
      <c r="H32" s="2">
        <v>80</v>
      </c>
      <c r="I32" s="2">
        <v>75</v>
      </c>
      <c r="J32" s="2">
        <v>83</v>
      </c>
      <c r="K32" s="2">
        <f>SUM(H32:J33)</f>
        <v>238</v>
      </c>
      <c r="L32" s="6">
        <f t="shared" si="1"/>
        <v>79.333333333333329</v>
      </c>
      <c r="M32" s="2">
        <f t="shared" si="2"/>
        <v>83</v>
      </c>
      <c r="N32" s="2">
        <f t="shared" si="3"/>
        <v>75</v>
      </c>
      <c r="O32" s="6">
        <v>79.333330000000004</v>
      </c>
      <c r="P32" s="2" t="str">
        <f t="shared" si="5"/>
        <v>A</v>
      </c>
    </row>
  </sheetData>
  <mergeCells count="1">
    <mergeCell ref="F1:P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2026-08-05T05:00:02Z</cp:lastPrinted>
  <dcterms:created xsi:type="dcterms:W3CDTF">2026-08-04T15:31:06Z</dcterms:created>
  <dcterms:modified xsi:type="dcterms:W3CDTF">2026-08-05T05:07:45Z</dcterms:modified>
</cp:coreProperties>
</file>