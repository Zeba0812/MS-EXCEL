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6" windowWidth="22980" windowHeight="9552"/>
  </bookViews>
  <sheets>
    <sheet name="Sheet1" sheetId="1" r:id="rId1"/>
    <sheet name="Sheet2" sheetId="2" r:id="rId2"/>
    <sheet name="Sheet3" sheetId="3" r:id="rId3"/>
  </sheets>
  <definedNames>
    <definedName name="_xlnm.Print_Area" localSheetId="0">Sheet1!$F$1:$K$28</definedName>
  </definedNames>
  <calcPr calcId="144525"/>
</workbook>
</file>

<file path=xl/calcChain.xml><?xml version="1.0" encoding="utf-8"?>
<calcChain xmlns="http://schemas.openxmlformats.org/spreadsheetml/2006/main">
  <c r="J28" i="1" l="1"/>
  <c r="J27" i="1"/>
  <c r="J26" i="1"/>
  <c r="J25" i="1"/>
  <c r="J24" i="1"/>
  <c r="J23" i="1"/>
  <c r="J22" i="1"/>
  <c r="J21" i="1"/>
  <c r="G24" i="1"/>
  <c r="G23" i="1"/>
  <c r="G22" i="1"/>
</calcChain>
</file>

<file path=xl/sharedStrings.xml><?xml version="1.0" encoding="utf-8"?>
<sst xmlns="http://schemas.openxmlformats.org/spreadsheetml/2006/main" count="71" uniqueCount="44">
  <si>
    <t>Date</t>
  </si>
  <si>
    <t>Category</t>
  </si>
  <si>
    <t>Amount</t>
  </si>
  <si>
    <t>Total Income</t>
  </si>
  <si>
    <t>Total Expense</t>
  </si>
  <si>
    <t>Balance</t>
  </si>
  <si>
    <t>13/1/2026</t>
  </si>
  <si>
    <t>14/1/2026</t>
  </si>
  <si>
    <t>15/1/2026</t>
  </si>
  <si>
    <t>Description</t>
  </si>
  <si>
    <t>Monthly Salary</t>
  </si>
  <si>
    <t>University Fee</t>
  </si>
  <si>
    <t>Lunch</t>
  </si>
  <si>
    <t>Bus Fare</t>
  </si>
  <si>
    <t>Mobile Recharge</t>
  </si>
  <si>
    <t>Study Materials</t>
  </si>
  <si>
    <t>Private Tuition</t>
  </si>
  <si>
    <t>Snacks</t>
  </si>
  <si>
    <t>Internet Bill</t>
  </si>
  <si>
    <t>New Dress</t>
  </si>
  <si>
    <t>Rickshaw Fare</t>
  </si>
  <si>
    <t>Printing &amp; Photocopy</t>
  </si>
  <si>
    <t>Movie with Friends</t>
  </si>
  <si>
    <t>Freelance Work</t>
  </si>
  <si>
    <t>Personal Care</t>
  </si>
  <si>
    <t>Income</t>
  </si>
  <si>
    <t>Education</t>
  </si>
  <si>
    <t>Food</t>
  </si>
  <si>
    <t>Transport</t>
  </si>
  <si>
    <t>Communication</t>
  </si>
  <si>
    <t>Utility</t>
  </si>
  <si>
    <t>Personal</t>
  </si>
  <si>
    <t>Entertainment</t>
  </si>
  <si>
    <t>Payment Methood</t>
  </si>
  <si>
    <t>Expense</t>
  </si>
  <si>
    <t>Bank Transfer</t>
  </si>
  <si>
    <t>Cash</t>
  </si>
  <si>
    <t>Bkash</t>
  </si>
  <si>
    <t>Card</t>
  </si>
  <si>
    <t>Monthly Expense Tracker - January 2026</t>
  </si>
  <si>
    <t>Summary Table:</t>
  </si>
  <si>
    <t xml:space="preserve">Description </t>
  </si>
  <si>
    <t>Total</t>
  </si>
  <si>
    <t>TOTAL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</si>
</sst>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applyBorder="1"/>
    <xf numFmtId="14" fontId="0" fillId="0" borderId="0" xfId="0" applyNumberFormat="1" applyBorder="1"/>
    <xf numFmtId="0" fontId="0" fillId="0" borderId="0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14" fontId="0" fillId="0" borderId="5" xfId="0" applyNumberFormat="1" applyBorder="1" applyAlignment="1">
      <alignment horizontal="center"/>
    </xf>
    <xf numFmtId="14" fontId="0" fillId="0" borderId="5" xfId="0" applyNumberFormat="1" applyBorder="1"/>
    <xf numFmtId="0" fontId="0" fillId="0" borderId="5" xfId="0" applyBorder="1" applyAlignment="1">
      <alignment horizontal="center"/>
    </xf>
    <xf numFmtId="0" fontId="3" fillId="0" borderId="5" xfId="0" applyFont="1" applyBorder="1"/>
    <xf numFmtId="14" fontId="1" fillId="0" borderId="6" xfId="0" applyNumberFormat="1" applyFont="1" applyBorder="1"/>
    <xf numFmtId="14" fontId="1" fillId="0" borderId="6" xfId="0" applyNumberFormat="1" applyFont="1" applyBorder="1" applyAlignment="1">
      <alignment horizontal="right"/>
    </xf>
    <xf numFmtId="14" fontId="2" fillId="0" borderId="7" xfId="0" applyNumberFormat="1" applyFont="1" applyBorder="1"/>
    <xf numFmtId="14" fontId="2" fillId="0" borderId="7" xfId="0" applyNumberFormat="1" applyFont="1" applyBorder="1" applyAlignment="1">
      <alignment horizontal="right"/>
    </xf>
    <xf numFmtId="14" fontId="0" fillId="0" borderId="7" xfId="0" applyNumberFormat="1" applyBorder="1"/>
    <xf numFmtId="0" fontId="0" fillId="0" borderId="7" xfId="0" applyNumberFormat="1" applyBorder="1"/>
    <xf numFmtId="14" fontId="1" fillId="0" borderId="7" xfId="0" applyNumberFormat="1" applyFont="1" applyBorder="1"/>
    <xf numFmtId="0" fontId="2" fillId="0" borderId="2" xfId="0" applyFont="1" applyFill="1" applyBorder="1" applyAlignment="1">
      <alignment horizontal="left" vertical="top"/>
    </xf>
    <xf numFmtId="0" fontId="2" fillId="0" borderId="2" xfId="0" applyFont="1" applyBorder="1" applyAlignment="1">
      <alignment horizontal="right"/>
    </xf>
    <xf numFmtId="0" fontId="0" fillId="0" borderId="8" xfId="0" applyFill="1" applyBorder="1" applyAlignment="1">
      <alignment horizontal="left"/>
    </xf>
    <xf numFmtId="0" fontId="0" fillId="0" borderId="8" xfId="0" applyBorder="1"/>
    <xf numFmtId="0" fontId="0" fillId="2" borderId="7" xfId="0" applyNumberFormat="1" applyFill="1" applyBorder="1"/>
    <xf numFmtId="0" fontId="4" fillId="0" borderId="4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1:M31"/>
  <sheetViews>
    <sheetView tabSelected="1" workbookViewId="0">
      <selection activeCell="J28" sqref="F1:K28"/>
    </sheetView>
  </sheetViews>
  <sheetFormatPr defaultRowHeight="14.4" x14ac:dyDescent="0.3"/>
  <cols>
    <col min="6" max="6" width="13.44140625" style="2" customWidth="1"/>
    <col min="7" max="7" width="17.6640625" style="2" customWidth="1"/>
    <col min="8" max="8" width="14" style="2" customWidth="1"/>
    <col min="9" max="9" width="20.44140625" style="2" customWidth="1"/>
    <col min="10" max="10" width="9.77734375" style="2" customWidth="1"/>
    <col min="11" max="11" width="9.109375" style="2" customWidth="1"/>
    <col min="12" max="12" width="12" customWidth="1"/>
    <col min="13" max="13" width="13.21875" customWidth="1"/>
  </cols>
  <sheetData>
    <row r="1" spans="4:13" ht="23.4" x14ac:dyDescent="0.3">
      <c r="F1" s="25" t="s">
        <v>39</v>
      </c>
      <c r="G1" s="25"/>
      <c r="H1" s="25"/>
      <c r="I1" s="25"/>
      <c r="J1" s="25"/>
      <c r="K1" s="25"/>
      <c r="L1" s="1"/>
      <c r="M1" s="1"/>
    </row>
    <row r="2" spans="4:13" ht="18" x14ac:dyDescent="0.35">
      <c r="F2" s="12" t="s">
        <v>0</v>
      </c>
      <c r="G2" s="12" t="s">
        <v>9</v>
      </c>
      <c r="H2" s="12" t="s">
        <v>1</v>
      </c>
      <c r="I2" s="12" t="s">
        <v>33</v>
      </c>
      <c r="J2" s="12" t="s">
        <v>25</v>
      </c>
      <c r="K2" s="12" t="s">
        <v>34</v>
      </c>
    </row>
    <row r="3" spans="4:13" x14ac:dyDescent="0.3">
      <c r="F3" s="9">
        <v>46023</v>
      </c>
      <c r="G3" s="10" t="s">
        <v>10</v>
      </c>
      <c r="H3" s="8" t="s">
        <v>25</v>
      </c>
      <c r="I3" s="11" t="s">
        <v>35</v>
      </c>
      <c r="J3" s="11">
        <v>25000</v>
      </c>
      <c r="K3" s="11">
        <v>0</v>
      </c>
    </row>
    <row r="4" spans="4:13" ht="15" thickBot="1" x14ac:dyDescent="0.35">
      <c r="E4" s="6"/>
      <c r="F4" s="9">
        <v>46054</v>
      </c>
      <c r="G4" s="10" t="s">
        <v>11</v>
      </c>
      <c r="H4" s="8" t="s">
        <v>26</v>
      </c>
      <c r="I4" s="11" t="s">
        <v>35</v>
      </c>
      <c r="J4" s="11">
        <v>0</v>
      </c>
      <c r="K4" s="11">
        <v>10000</v>
      </c>
    </row>
    <row r="5" spans="4:13" x14ac:dyDescent="0.3">
      <c r="F5" s="9">
        <v>46082</v>
      </c>
      <c r="G5" s="10" t="s">
        <v>12</v>
      </c>
      <c r="H5" s="8" t="s">
        <v>27</v>
      </c>
      <c r="I5" s="11" t="s">
        <v>36</v>
      </c>
      <c r="J5" s="11">
        <v>0</v>
      </c>
      <c r="K5" s="11">
        <v>350</v>
      </c>
    </row>
    <row r="6" spans="4:13" x14ac:dyDescent="0.3">
      <c r="F6" s="9">
        <v>46113</v>
      </c>
      <c r="G6" s="10" t="s">
        <v>13</v>
      </c>
      <c r="H6" s="8" t="s">
        <v>28</v>
      </c>
      <c r="I6" s="11" t="s">
        <v>36</v>
      </c>
      <c r="J6" s="11">
        <v>0</v>
      </c>
      <c r="K6" s="11">
        <v>200</v>
      </c>
      <c r="L6" s="7"/>
    </row>
    <row r="7" spans="4:13" x14ac:dyDescent="0.3">
      <c r="D7" s="5"/>
      <c r="F7" s="9">
        <v>46143</v>
      </c>
      <c r="G7" s="10" t="s">
        <v>14</v>
      </c>
      <c r="H7" s="8" t="s">
        <v>29</v>
      </c>
      <c r="I7" s="11" t="s">
        <v>37</v>
      </c>
      <c r="J7" s="11">
        <v>0</v>
      </c>
      <c r="K7" s="11">
        <v>300</v>
      </c>
    </row>
    <row r="8" spans="4:13" x14ac:dyDescent="0.3">
      <c r="F8" s="9">
        <v>46174</v>
      </c>
      <c r="G8" s="10" t="s">
        <v>15</v>
      </c>
      <c r="H8" s="8" t="s">
        <v>26</v>
      </c>
      <c r="I8" s="11" t="s">
        <v>36</v>
      </c>
      <c r="J8" s="11">
        <v>0</v>
      </c>
      <c r="K8" s="11">
        <v>600</v>
      </c>
    </row>
    <row r="9" spans="4:13" x14ac:dyDescent="0.3">
      <c r="F9" s="9">
        <v>46204</v>
      </c>
      <c r="G9" s="10" t="s">
        <v>16</v>
      </c>
      <c r="H9" s="8" t="s">
        <v>25</v>
      </c>
      <c r="I9" s="11" t="s">
        <v>36</v>
      </c>
      <c r="J9" s="11">
        <v>3000</v>
      </c>
      <c r="K9" s="11">
        <v>0</v>
      </c>
    </row>
    <row r="10" spans="4:13" x14ac:dyDescent="0.3">
      <c r="F10" s="9">
        <v>46235</v>
      </c>
      <c r="G10" s="10" t="s">
        <v>17</v>
      </c>
      <c r="H10" s="8" t="s">
        <v>27</v>
      </c>
      <c r="I10" s="11" t="s">
        <v>36</v>
      </c>
      <c r="J10" s="11">
        <v>0</v>
      </c>
      <c r="K10" s="11">
        <v>250</v>
      </c>
    </row>
    <row r="11" spans="4:13" x14ac:dyDescent="0.3">
      <c r="F11" s="9">
        <v>46266</v>
      </c>
      <c r="G11" s="10" t="s">
        <v>18</v>
      </c>
      <c r="H11" s="8" t="s">
        <v>30</v>
      </c>
      <c r="I11" s="11" t="s">
        <v>36</v>
      </c>
      <c r="J11" s="11">
        <v>0</v>
      </c>
      <c r="K11" s="11">
        <v>500</v>
      </c>
    </row>
    <row r="12" spans="4:13" x14ac:dyDescent="0.3">
      <c r="F12" s="9">
        <v>46296</v>
      </c>
      <c r="G12" s="10" t="s">
        <v>19</v>
      </c>
      <c r="H12" s="8" t="s">
        <v>31</v>
      </c>
      <c r="I12" s="11" t="s">
        <v>38</v>
      </c>
      <c r="J12" s="11">
        <v>0</v>
      </c>
      <c r="K12" s="11">
        <v>1200</v>
      </c>
    </row>
    <row r="13" spans="4:13" x14ac:dyDescent="0.3">
      <c r="F13" s="9">
        <v>46327</v>
      </c>
      <c r="G13" s="10" t="s">
        <v>20</v>
      </c>
      <c r="H13" s="8" t="s">
        <v>28</v>
      </c>
      <c r="I13" s="11" t="s">
        <v>36</v>
      </c>
      <c r="J13" s="11">
        <v>0</v>
      </c>
      <c r="K13" s="11">
        <v>150</v>
      </c>
    </row>
    <row r="14" spans="4:13" x14ac:dyDescent="0.3">
      <c r="F14" s="9">
        <v>46357</v>
      </c>
      <c r="G14" s="10" t="s">
        <v>21</v>
      </c>
      <c r="H14" s="8" t="s">
        <v>26</v>
      </c>
      <c r="I14" s="11" t="s">
        <v>36</v>
      </c>
      <c r="J14" s="11">
        <v>0</v>
      </c>
      <c r="K14" s="11">
        <v>300</v>
      </c>
    </row>
    <row r="15" spans="4:13" x14ac:dyDescent="0.3">
      <c r="F15" s="9" t="s">
        <v>6</v>
      </c>
      <c r="G15" s="10" t="s">
        <v>22</v>
      </c>
      <c r="H15" s="8" t="s">
        <v>32</v>
      </c>
      <c r="I15" s="11" t="s">
        <v>37</v>
      </c>
      <c r="J15" s="11">
        <v>0</v>
      </c>
      <c r="K15" s="11">
        <v>400</v>
      </c>
    </row>
    <row r="16" spans="4:13" x14ac:dyDescent="0.3">
      <c r="F16" s="9" t="s">
        <v>7</v>
      </c>
      <c r="G16" s="10" t="s">
        <v>23</v>
      </c>
      <c r="H16" s="8" t="s">
        <v>25</v>
      </c>
      <c r="I16" s="11" t="s">
        <v>35</v>
      </c>
      <c r="J16" s="11">
        <v>2500</v>
      </c>
      <c r="K16" s="11">
        <v>0</v>
      </c>
    </row>
    <row r="17" spans="6:11" x14ac:dyDescent="0.3">
      <c r="F17" s="9" t="s">
        <v>8</v>
      </c>
      <c r="G17" s="10" t="s">
        <v>24</v>
      </c>
      <c r="H17" s="8" t="s">
        <v>31</v>
      </c>
      <c r="I17" s="11" t="s">
        <v>37</v>
      </c>
      <c r="J17" s="11">
        <v>0</v>
      </c>
      <c r="K17" s="11">
        <v>700</v>
      </c>
    </row>
    <row r="18" spans="6:11" x14ac:dyDescent="0.3">
      <c r="F18" s="3"/>
      <c r="G18" s="3"/>
      <c r="I18" s="4"/>
    </row>
    <row r="19" spans="6:11" x14ac:dyDescent="0.3">
      <c r="F19" s="3"/>
      <c r="G19" s="3"/>
    </row>
    <row r="20" spans="6:11" ht="16.2" thickBot="1" x14ac:dyDescent="0.35">
      <c r="F20" s="13" t="s">
        <v>40</v>
      </c>
      <c r="G20" s="14"/>
      <c r="I20" s="20" t="s">
        <v>1</v>
      </c>
      <c r="J20" s="21" t="s">
        <v>42</v>
      </c>
    </row>
    <row r="21" spans="6:11" ht="16.2" thickBot="1" x14ac:dyDescent="0.35">
      <c r="F21" s="15" t="s">
        <v>41</v>
      </c>
      <c r="G21" s="16" t="s">
        <v>2</v>
      </c>
      <c r="I21" s="22" t="s">
        <v>26</v>
      </c>
      <c r="J21" s="23">
        <f>SUM(K4,K8,K14)</f>
        <v>10900</v>
      </c>
    </row>
    <row r="22" spans="6:11" ht="15" thickBot="1" x14ac:dyDescent="0.35">
      <c r="F22" s="17" t="s">
        <v>3</v>
      </c>
      <c r="G22" s="18">
        <f>SUM(J3:J17)</f>
        <v>30500</v>
      </c>
      <c r="I22" s="22" t="s">
        <v>27</v>
      </c>
      <c r="J22" s="23">
        <f>SUM(K5,K10)</f>
        <v>600</v>
      </c>
    </row>
    <row r="23" spans="6:11" ht="15" thickBot="1" x14ac:dyDescent="0.35">
      <c r="F23" s="17" t="s">
        <v>4</v>
      </c>
      <c r="G23" s="18">
        <f>SUM(K3:K17)</f>
        <v>14950</v>
      </c>
      <c r="I23" s="22" t="s">
        <v>28</v>
      </c>
      <c r="J23" s="23">
        <f>SUM(K6,K13)</f>
        <v>350</v>
      </c>
    </row>
    <row r="24" spans="6:11" ht="15" thickBot="1" x14ac:dyDescent="0.35">
      <c r="F24" s="19" t="s">
        <v>5</v>
      </c>
      <c r="G24" s="24">
        <f>G22-G23</f>
        <v>15550</v>
      </c>
      <c r="I24" s="22" t="s">
        <v>29</v>
      </c>
      <c r="J24" s="23">
        <f>SUM(K7)</f>
        <v>300</v>
      </c>
    </row>
    <row r="25" spans="6:11" ht="15" thickBot="1" x14ac:dyDescent="0.35">
      <c r="F25" s="3"/>
      <c r="G25" s="3"/>
      <c r="I25" s="22" t="s">
        <v>30</v>
      </c>
      <c r="J25" s="23">
        <f>SUM(K11)</f>
        <v>500</v>
      </c>
    </row>
    <row r="26" spans="6:11" ht="15" thickBot="1" x14ac:dyDescent="0.35">
      <c r="F26" s="3"/>
      <c r="G26" s="3"/>
      <c r="I26" s="22" t="s">
        <v>31</v>
      </c>
      <c r="J26" s="23">
        <f>SUM(K12,K17)</f>
        <v>1900</v>
      </c>
    </row>
    <row r="27" spans="6:11" ht="15" thickBot="1" x14ac:dyDescent="0.35">
      <c r="F27" s="3"/>
      <c r="G27" s="3"/>
      <c r="I27" s="22" t="s">
        <v>32</v>
      </c>
      <c r="J27" s="23">
        <f>SUM(K15)</f>
        <v>400</v>
      </c>
    </row>
    <row r="28" spans="6:11" ht="15" thickBot="1" x14ac:dyDescent="0.35">
      <c r="F28" s="3"/>
      <c r="G28" s="3"/>
      <c r="I28" s="22" t="s">
        <v>43</v>
      </c>
      <c r="J28" s="23">
        <f>SUM(J21:J27)</f>
        <v>14950</v>
      </c>
    </row>
    <row r="29" spans="6:11" x14ac:dyDescent="0.3">
      <c r="F29" s="3"/>
      <c r="G29" s="3"/>
    </row>
    <row r="30" spans="6:11" x14ac:dyDescent="0.3">
      <c r="F30" s="3"/>
      <c r="G30" s="3"/>
    </row>
    <row r="31" spans="6:11" x14ac:dyDescent="0.3">
      <c r="F31" s="3"/>
      <c r="G31" s="3"/>
    </row>
  </sheetData>
  <mergeCells count="1">
    <mergeCell ref="F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sagira zeba</dc:creator>
  <cp:lastModifiedBy>sagira zeba</cp:lastModifiedBy>
  <cp:lastPrinted>2026-08-05T17:30:49Z</cp:lastPrinted>
  <dcterms:created xsi:type="dcterms:W3CDTF">2026-08-05T14:48:32Z</dcterms:created>
  <dcterms:modified xsi:type="dcterms:W3CDTF">2026-08-05T17:30:59Z</dcterms:modified>
</cp:coreProperties>
</file>